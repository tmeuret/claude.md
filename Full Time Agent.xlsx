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immeuret/Library/Mobile Documents/com~apple~Numbers/Documents/"/>
    </mc:Choice>
  </mc:AlternateContent>
  <xr:revisionPtr revIDLastSave="0" documentId="13_ncr:1_{D1388C97-5DC4-0F4E-9909-D5FC2933730D}" xr6:coauthVersionLast="47" xr6:coauthVersionMax="47" xr10:uidLastSave="{00000000-0000-0000-0000-000000000000}"/>
  <bookViews>
    <workbookView xWindow="3240" yWindow="500" windowWidth="41580" windowHeight="26500" xr2:uid="{00000000-000D-0000-FFFF-FFFF00000000}"/>
  </bookViews>
  <sheets>
    <sheet name="20 hr Agent - Full Time Agent" sheetId="2" r:id="rId1"/>
    <sheet name="Full Time w_Life - Full Time Ag" sheetId="3" r:id="rId2"/>
    <sheet name="20 hr agent -CA - Full Time Age" sheetId="4" r:id="rId3"/>
    <sheet name="40 hr Agent - Full Time Ag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5" l="1"/>
  <c r="I14" i="5"/>
  <c r="I13" i="5"/>
  <c r="I12" i="5"/>
  <c r="I11" i="5"/>
  <c r="I10" i="5"/>
  <c r="I9" i="5"/>
  <c r="I8" i="5"/>
  <c r="I7" i="5"/>
  <c r="I6" i="5"/>
  <c r="I5" i="5"/>
  <c r="I4" i="5"/>
  <c r="F15" i="5"/>
  <c r="F14" i="5"/>
  <c r="F13" i="5"/>
  <c r="F12" i="5"/>
  <c r="F11" i="5"/>
  <c r="F10" i="5"/>
  <c r="F9" i="5"/>
  <c r="F8" i="5"/>
  <c r="F6" i="5"/>
  <c r="F5" i="5"/>
  <c r="F4" i="5"/>
  <c r="F7" i="5"/>
  <c r="P16" i="5"/>
  <c r="M16" i="5"/>
  <c r="J16" i="5"/>
  <c r="G16" i="5"/>
  <c r="D16" i="5"/>
  <c r="B16" i="5"/>
  <c r="C15" i="5"/>
  <c r="E15" i="5" s="1"/>
  <c r="H15" i="5" s="1"/>
  <c r="K15" i="5" s="1"/>
  <c r="N15" i="5" s="1"/>
  <c r="Q15" i="5" s="1"/>
  <c r="C14" i="5"/>
  <c r="E14" i="5" s="1"/>
  <c r="H14" i="5" s="1"/>
  <c r="K14" i="5" s="1"/>
  <c r="N14" i="5" s="1"/>
  <c r="Q14" i="5" s="1"/>
  <c r="O13" i="5"/>
  <c r="C13" i="5"/>
  <c r="E13" i="5" s="1"/>
  <c r="H13" i="5" s="1"/>
  <c r="K13" i="5" s="1"/>
  <c r="N13" i="5" s="1"/>
  <c r="Q13" i="5" s="1"/>
  <c r="C12" i="5"/>
  <c r="E12" i="5" s="1"/>
  <c r="H12" i="5" s="1"/>
  <c r="K12" i="5" s="1"/>
  <c r="N12" i="5" s="1"/>
  <c r="Q12" i="5" s="1"/>
  <c r="C11" i="5"/>
  <c r="E11" i="5" s="1"/>
  <c r="H11" i="5" s="1"/>
  <c r="K11" i="5" s="1"/>
  <c r="N11" i="5" s="1"/>
  <c r="Q11" i="5" s="1"/>
  <c r="C10" i="5"/>
  <c r="E10" i="5" s="1"/>
  <c r="H10" i="5" s="1"/>
  <c r="K10" i="5" s="1"/>
  <c r="N10" i="5" s="1"/>
  <c r="Q10" i="5" s="1"/>
  <c r="C9" i="5"/>
  <c r="E9" i="5" s="1"/>
  <c r="H9" i="5" s="1"/>
  <c r="K9" i="5" s="1"/>
  <c r="N9" i="5" s="1"/>
  <c r="Q9" i="5" s="1"/>
  <c r="C8" i="5"/>
  <c r="E8" i="5" s="1"/>
  <c r="H8" i="5" s="1"/>
  <c r="K8" i="5" s="1"/>
  <c r="N8" i="5" s="1"/>
  <c r="Q8" i="5" s="1"/>
  <c r="C7" i="5"/>
  <c r="E7" i="5" s="1"/>
  <c r="H7" i="5" s="1"/>
  <c r="K7" i="5" s="1"/>
  <c r="N7" i="5" s="1"/>
  <c r="Q7" i="5" s="1"/>
  <c r="C6" i="5"/>
  <c r="E6" i="5" s="1"/>
  <c r="H6" i="5" s="1"/>
  <c r="K6" i="5" s="1"/>
  <c r="N6" i="5" s="1"/>
  <c r="Q6" i="5" s="1"/>
  <c r="C5" i="5"/>
  <c r="E5" i="5" s="1"/>
  <c r="H5" i="5" s="1"/>
  <c r="K5" i="5" s="1"/>
  <c r="N5" i="5" s="1"/>
  <c r="Q5" i="5" s="1"/>
  <c r="C4" i="5"/>
  <c r="P16" i="4"/>
  <c r="M16" i="4"/>
  <c r="J16" i="4"/>
  <c r="G16" i="4"/>
  <c r="L15" i="4" s="1"/>
  <c r="D16" i="4"/>
  <c r="B16" i="4"/>
  <c r="O14" i="4" s="1"/>
  <c r="I15" i="4"/>
  <c r="F15" i="4"/>
  <c r="C15" i="4"/>
  <c r="E15" i="4" s="1"/>
  <c r="H15" i="4" s="1"/>
  <c r="K15" i="4" s="1"/>
  <c r="N15" i="4" s="1"/>
  <c r="Q15" i="4" s="1"/>
  <c r="F14" i="4"/>
  <c r="C14" i="4"/>
  <c r="E14" i="4" s="1"/>
  <c r="H14" i="4" s="1"/>
  <c r="K14" i="4" s="1"/>
  <c r="N14" i="4" s="1"/>
  <c r="Q14" i="4" s="1"/>
  <c r="R13" i="4"/>
  <c r="O13" i="4"/>
  <c r="I13" i="4"/>
  <c r="F13" i="4"/>
  <c r="C13" i="4"/>
  <c r="E13" i="4" s="1"/>
  <c r="H13" i="4" s="1"/>
  <c r="K13" i="4" s="1"/>
  <c r="N13" i="4" s="1"/>
  <c r="Q13" i="4" s="1"/>
  <c r="R12" i="4"/>
  <c r="C12" i="4"/>
  <c r="E12" i="4" s="1"/>
  <c r="H12" i="4" s="1"/>
  <c r="K12" i="4" s="1"/>
  <c r="N12" i="4" s="1"/>
  <c r="Q12" i="4" s="1"/>
  <c r="O11" i="4"/>
  <c r="L11" i="4"/>
  <c r="F11" i="4"/>
  <c r="C11" i="4"/>
  <c r="E11" i="4" s="1"/>
  <c r="H11" i="4" s="1"/>
  <c r="K11" i="4" s="1"/>
  <c r="N11" i="4" s="1"/>
  <c r="Q11" i="4" s="1"/>
  <c r="R10" i="4"/>
  <c r="O10" i="4"/>
  <c r="C10" i="4"/>
  <c r="E10" i="4" s="1"/>
  <c r="H10" i="4" s="1"/>
  <c r="K10" i="4" s="1"/>
  <c r="N10" i="4" s="1"/>
  <c r="Q10" i="4" s="1"/>
  <c r="R9" i="4"/>
  <c r="L9" i="4"/>
  <c r="I9" i="4"/>
  <c r="C9" i="4"/>
  <c r="E9" i="4" s="1"/>
  <c r="H9" i="4" s="1"/>
  <c r="K9" i="4" s="1"/>
  <c r="N9" i="4" s="1"/>
  <c r="Q9" i="4" s="1"/>
  <c r="O8" i="4"/>
  <c r="L8" i="4"/>
  <c r="I8" i="4"/>
  <c r="C8" i="4"/>
  <c r="E8" i="4" s="1"/>
  <c r="H8" i="4" s="1"/>
  <c r="K8" i="4" s="1"/>
  <c r="N8" i="4" s="1"/>
  <c r="Q8" i="4" s="1"/>
  <c r="O7" i="4"/>
  <c r="I7" i="4"/>
  <c r="F7" i="4"/>
  <c r="C7" i="4"/>
  <c r="E7" i="4" s="1"/>
  <c r="H7" i="4" s="1"/>
  <c r="K7" i="4" s="1"/>
  <c r="N7" i="4" s="1"/>
  <c r="Q7" i="4" s="1"/>
  <c r="L6" i="4"/>
  <c r="I6" i="4"/>
  <c r="F6" i="4"/>
  <c r="C6" i="4"/>
  <c r="E6" i="4" s="1"/>
  <c r="H6" i="4" s="1"/>
  <c r="K6" i="4" s="1"/>
  <c r="N6" i="4" s="1"/>
  <c r="Q6" i="4" s="1"/>
  <c r="L5" i="4"/>
  <c r="I5" i="4"/>
  <c r="F5" i="4"/>
  <c r="C5" i="4"/>
  <c r="E5" i="4" s="1"/>
  <c r="H5" i="4" s="1"/>
  <c r="K5" i="4" s="1"/>
  <c r="N5" i="4" s="1"/>
  <c r="Q5" i="4" s="1"/>
  <c r="I4" i="4"/>
  <c r="F4" i="4"/>
  <c r="C4" i="4"/>
  <c r="Y16" i="3"/>
  <c r="T16" i="3"/>
  <c r="O16" i="3"/>
  <c r="J16" i="3"/>
  <c r="E16" i="3"/>
  <c r="B16" i="3"/>
  <c r="W15" i="3" s="1"/>
  <c r="AB15" i="3"/>
  <c r="AA15" i="3"/>
  <c r="V15" i="3"/>
  <c r="Q15" i="3"/>
  <c r="M15" i="3"/>
  <c r="L15" i="3"/>
  <c r="G15" i="3"/>
  <c r="D15" i="3"/>
  <c r="C15" i="3"/>
  <c r="F15" i="3" s="1"/>
  <c r="K15" i="3" s="1"/>
  <c r="P15" i="3" s="1"/>
  <c r="U15" i="3" s="1"/>
  <c r="Z15" i="3" s="1"/>
  <c r="AA14" i="3"/>
  <c r="V14" i="3"/>
  <c r="Q14" i="3"/>
  <c r="M14" i="3"/>
  <c r="L14" i="3"/>
  <c r="G14" i="3"/>
  <c r="D14" i="3"/>
  <c r="C14" i="3"/>
  <c r="F14" i="3" s="1"/>
  <c r="K14" i="3" s="1"/>
  <c r="P14" i="3" s="1"/>
  <c r="U14" i="3" s="1"/>
  <c r="Z14" i="3" s="1"/>
  <c r="AA13" i="3"/>
  <c r="W13" i="3"/>
  <c r="V13" i="3"/>
  <c r="Q13" i="3"/>
  <c r="L13" i="3"/>
  <c r="H13" i="3"/>
  <c r="G13" i="3"/>
  <c r="D13" i="3"/>
  <c r="C13" i="3"/>
  <c r="F13" i="3" s="1"/>
  <c r="K13" i="3" s="1"/>
  <c r="P13" i="3" s="1"/>
  <c r="U13" i="3" s="1"/>
  <c r="Z13" i="3" s="1"/>
  <c r="AA12" i="3"/>
  <c r="W12" i="3"/>
  <c r="V12" i="3"/>
  <c r="Q12" i="3"/>
  <c r="L12" i="3"/>
  <c r="H12" i="3"/>
  <c r="G12" i="3"/>
  <c r="D12" i="3"/>
  <c r="C12" i="3"/>
  <c r="F12" i="3" s="1"/>
  <c r="K12" i="3" s="1"/>
  <c r="P12" i="3" s="1"/>
  <c r="U12" i="3" s="1"/>
  <c r="Z12" i="3" s="1"/>
  <c r="AA11" i="3"/>
  <c r="V11" i="3"/>
  <c r="R11" i="3"/>
  <c r="Q11" i="3"/>
  <c r="L11" i="3"/>
  <c r="G11" i="3"/>
  <c r="D11" i="3"/>
  <c r="C11" i="3"/>
  <c r="F11" i="3" s="1"/>
  <c r="K11" i="3" s="1"/>
  <c r="P11" i="3" s="1"/>
  <c r="U11" i="3" s="1"/>
  <c r="Z11" i="3" s="1"/>
  <c r="AA10" i="3"/>
  <c r="V10" i="3"/>
  <c r="R10" i="3"/>
  <c r="Q10" i="3"/>
  <c r="L10" i="3"/>
  <c r="G10" i="3"/>
  <c r="D10" i="3"/>
  <c r="C10" i="3"/>
  <c r="F10" i="3" s="1"/>
  <c r="K10" i="3" s="1"/>
  <c r="P10" i="3" s="1"/>
  <c r="U10" i="3" s="1"/>
  <c r="Z10" i="3" s="1"/>
  <c r="AB9" i="3"/>
  <c r="AA9" i="3"/>
  <c r="V9" i="3"/>
  <c r="Q9" i="3"/>
  <c r="M9" i="3"/>
  <c r="L9" i="3"/>
  <c r="G9" i="3"/>
  <c r="D9" i="3"/>
  <c r="C9" i="3"/>
  <c r="F9" i="3" s="1"/>
  <c r="K9" i="3" s="1"/>
  <c r="P9" i="3" s="1"/>
  <c r="U9" i="3" s="1"/>
  <c r="Z9" i="3" s="1"/>
  <c r="AB8" i="3"/>
  <c r="AA8" i="3"/>
  <c r="V8" i="3"/>
  <c r="Q8" i="3"/>
  <c r="M8" i="3"/>
  <c r="L8" i="3"/>
  <c r="G8" i="3"/>
  <c r="D8" i="3"/>
  <c r="C8" i="3"/>
  <c r="F8" i="3" s="1"/>
  <c r="K8" i="3" s="1"/>
  <c r="P8" i="3" s="1"/>
  <c r="U8" i="3" s="1"/>
  <c r="Z8" i="3" s="1"/>
  <c r="AA7" i="3"/>
  <c r="W7" i="3"/>
  <c r="V7" i="3"/>
  <c r="Q7" i="3"/>
  <c r="L7" i="3"/>
  <c r="H7" i="3"/>
  <c r="G7" i="3"/>
  <c r="D7" i="3"/>
  <c r="C7" i="3"/>
  <c r="F7" i="3" s="1"/>
  <c r="K7" i="3" s="1"/>
  <c r="P7" i="3" s="1"/>
  <c r="U7" i="3" s="1"/>
  <c r="Z7" i="3" s="1"/>
  <c r="AA6" i="3"/>
  <c r="W6" i="3"/>
  <c r="V6" i="3"/>
  <c r="Q6" i="3"/>
  <c r="L6" i="3"/>
  <c r="I6" i="3"/>
  <c r="I7" i="3" s="1"/>
  <c r="I8" i="3" s="1"/>
  <c r="I9" i="3" s="1"/>
  <c r="I10" i="3" s="1"/>
  <c r="I11" i="3" s="1"/>
  <c r="I12" i="3" s="1"/>
  <c r="I13" i="3" s="1"/>
  <c r="I14" i="3" s="1"/>
  <c r="I15" i="3" s="1"/>
  <c r="N4" i="3" s="1"/>
  <c r="H6" i="3"/>
  <c r="G6" i="3"/>
  <c r="D6" i="3"/>
  <c r="C6" i="3"/>
  <c r="F6" i="3" s="1"/>
  <c r="K6" i="3" s="1"/>
  <c r="P6" i="3" s="1"/>
  <c r="U6" i="3" s="1"/>
  <c r="Z6" i="3" s="1"/>
  <c r="AA5" i="3"/>
  <c r="V5" i="3"/>
  <c r="R5" i="3"/>
  <c r="Q5" i="3"/>
  <c r="L5" i="3"/>
  <c r="I5" i="3"/>
  <c r="G5" i="3"/>
  <c r="D5" i="3"/>
  <c r="C5" i="3"/>
  <c r="F5" i="3" s="1"/>
  <c r="K5" i="3" s="1"/>
  <c r="P5" i="3" s="1"/>
  <c r="U5" i="3" s="1"/>
  <c r="Z5" i="3" s="1"/>
  <c r="AA4" i="3"/>
  <c r="V4" i="3"/>
  <c r="R4" i="3"/>
  <c r="Q4" i="3"/>
  <c r="Q16" i="3" s="1"/>
  <c r="L4" i="3"/>
  <c r="G4" i="3"/>
  <c r="D4" i="3"/>
  <c r="C4" i="3"/>
  <c r="F4" i="3" s="1"/>
  <c r="P16" i="2"/>
  <c r="M16" i="2"/>
  <c r="J16" i="2"/>
  <c r="R4" i="2" s="1"/>
  <c r="G16" i="2"/>
  <c r="R10" i="2" s="1"/>
  <c r="D16" i="2"/>
  <c r="B16" i="2"/>
  <c r="L15" i="2"/>
  <c r="I15" i="2"/>
  <c r="F15" i="2"/>
  <c r="C15" i="2"/>
  <c r="E15" i="2" s="1"/>
  <c r="H15" i="2" s="1"/>
  <c r="K15" i="2" s="1"/>
  <c r="N15" i="2" s="1"/>
  <c r="Q15" i="2" s="1"/>
  <c r="L14" i="2"/>
  <c r="I14" i="2"/>
  <c r="F14" i="2"/>
  <c r="C14" i="2"/>
  <c r="E14" i="2" s="1"/>
  <c r="H14" i="2" s="1"/>
  <c r="K14" i="2" s="1"/>
  <c r="N14" i="2" s="1"/>
  <c r="Q14" i="2" s="1"/>
  <c r="I13" i="2"/>
  <c r="F13" i="2"/>
  <c r="C13" i="2"/>
  <c r="E13" i="2" s="1"/>
  <c r="H13" i="2" s="1"/>
  <c r="K13" i="2" s="1"/>
  <c r="N13" i="2" s="1"/>
  <c r="Q13" i="2" s="1"/>
  <c r="L12" i="2"/>
  <c r="I12" i="2"/>
  <c r="F12" i="2"/>
  <c r="C12" i="2"/>
  <c r="E12" i="2" s="1"/>
  <c r="H12" i="2" s="1"/>
  <c r="K12" i="2" s="1"/>
  <c r="N12" i="2" s="1"/>
  <c r="Q12" i="2" s="1"/>
  <c r="I11" i="2"/>
  <c r="F11" i="2"/>
  <c r="C11" i="2"/>
  <c r="E11" i="2" s="1"/>
  <c r="H11" i="2" s="1"/>
  <c r="K11" i="2" s="1"/>
  <c r="N11" i="2" s="1"/>
  <c r="Q11" i="2" s="1"/>
  <c r="I10" i="2"/>
  <c r="F10" i="2"/>
  <c r="C10" i="2"/>
  <c r="E10" i="2" s="1"/>
  <c r="H10" i="2" s="1"/>
  <c r="K10" i="2" s="1"/>
  <c r="N10" i="2" s="1"/>
  <c r="Q10" i="2" s="1"/>
  <c r="I9" i="2"/>
  <c r="F9" i="2"/>
  <c r="C9" i="2"/>
  <c r="E9" i="2" s="1"/>
  <c r="H9" i="2" s="1"/>
  <c r="K9" i="2" s="1"/>
  <c r="N9" i="2" s="1"/>
  <c r="Q9" i="2" s="1"/>
  <c r="I8" i="2"/>
  <c r="F8" i="2"/>
  <c r="C8" i="2"/>
  <c r="E8" i="2" s="1"/>
  <c r="H8" i="2" s="1"/>
  <c r="K8" i="2" s="1"/>
  <c r="N8" i="2" s="1"/>
  <c r="Q8" i="2" s="1"/>
  <c r="R7" i="2"/>
  <c r="I7" i="2"/>
  <c r="F7" i="2"/>
  <c r="C7" i="2"/>
  <c r="E7" i="2" s="1"/>
  <c r="H7" i="2" s="1"/>
  <c r="K7" i="2" s="1"/>
  <c r="N7" i="2" s="1"/>
  <c r="Q7" i="2" s="1"/>
  <c r="R6" i="2"/>
  <c r="I6" i="2"/>
  <c r="F6" i="2"/>
  <c r="C6" i="2"/>
  <c r="E6" i="2" s="1"/>
  <c r="H6" i="2" s="1"/>
  <c r="K6" i="2" s="1"/>
  <c r="N6" i="2" s="1"/>
  <c r="Q6" i="2" s="1"/>
  <c r="O5" i="2"/>
  <c r="L5" i="2"/>
  <c r="I5" i="2"/>
  <c r="F5" i="2"/>
  <c r="C5" i="2"/>
  <c r="O4" i="2"/>
  <c r="I4" i="2"/>
  <c r="F4" i="2"/>
  <c r="C4" i="2"/>
  <c r="E4" i="2" s="1"/>
  <c r="C16" i="4" l="1"/>
  <c r="C18" i="4" s="1"/>
  <c r="E4" i="4"/>
  <c r="F16" i="2"/>
  <c r="C16" i="2"/>
  <c r="C18" i="2" s="1"/>
  <c r="I16" i="2"/>
  <c r="V16" i="3"/>
  <c r="AA16" i="3"/>
  <c r="L16" i="3"/>
  <c r="D16" i="3"/>
  <c r="G16" i="3"/>
  <c r="O14" i="5"/>
  <c r="L8" i="5"/>
  <c r="L10" i="5"/>
  <c r="C16" i="5"/>
  <c r="C18" i="5" s="1"/>
  <c r="O10" i="5"/>
  <c r="O6" i="5"/>
  <c r="L11" i="5"/>
  <c r="O12" i="5"/>
  <c r="R8" i="5"/>
  <c r="L4" i="5"/>
  <c r="R14" i="5"/>
  <c r="R15" i="5"/>
  <c r="E4" i="5"/>
  <c r="L9" i="5"/>
  <c r="O11" i="5"/>
  <c r="R13" i="5"/>
  <c r="L7" i="5"/>
  <c r="O9" i="5"/>
  <c r="R11" i="5"/>
  <c r="R12" i="5"/>
  <c r="L6" i="5"/>
  <c r="O8" i="5"/>
  <c r="R10" i="5"/>
  <c r="L5" i="5"/>
  <c r="O7" i="5"/>
  <c r="R9" i="5"/>
  <c r="O5" i="5"/>
  <c r="R7" i="5"/>
  <c r="L15" i="5"/>
  <c r="O4" i="5"/>
  <c r="R6" i="5"/>
  <c r="L14" i="5"/>
  <c r="R5" i="5"/>
  <c r="L13" i="5"/>
  <c r="O15" i="5"/>
  <c r="R4" i="5"/>
  <c r="L12" i="5"/>
  <c r="E16" i="4"/>
  <c r="N5" i="3"/>
  <c r="N6" i="3" s="1"/>
  <c r="N7" i="3" s="1"/>
  <c r="N8" i="3" s="1"/>
  <c r="N9" i="3" s="1"/>
  <c r="N10" i="3" s="1"/>
  <c r="N11" i="3" s="1"/>
  <c r="N12" i="3" s="1"/>
  <c r="N13" i="3" s="1"/>
  <c r="N14" i="3" s="1"/>
  <c r="N15" i="3" s="1"/>
  <c r="S4" i="3" s="1"/>
  <c r="K4" i="3"/>
  <c r="F16" i="3"/>
  <c r="R9" i="2"/>
  <c r="I16" i="3"/>
  <c r="R15" i="4"/>
  <c r="O7" i="2"/>
  <c r="L4" i="2"/>
  <c r="O6" i="2"/>
  <c r="R8" i="2"/>
  <c r="M4" i="3"/>
  <c r="AB4" i="3"/>
  <c r="R6" i="3"/>
  <c r="H8" i="3"/>
  <c r="W8" i="3"/>
  <c r="M10" i="3"/>
  <c r="AB10" i="3"/>
  <c r="R12" i="3"/>
  <c r="H14" i="3"/>
  <c r="W14" i="3"/>
  <c r="L10" i="4"/>
  <c r="O12" i="4"/>
  <c r="R14" i="4"/>
  <c r="R5" i="2"/>
  <c r="L13" i="2"/>
  <c r="O15" i="2"/>
  <c r="H4" i="4"/>
  <c r="L7" i="4"/>
  <c r="O9" i="4"/>
  <c r="R11" i="4"/>
  <c r="L11" i="2"/>
  <c r="O14" i="2"/>
  <c r="AB14" i="3"/>
  <c r="C16" i="3"/>
  <c r="C18" i="3" s="1"/>
  <c r="E5" i="2"/>
  <c r="H5" i="2" s="1"/>
  <c r="K5" i="2" s="1"/>
  <c r="N5" i="2" s="1"/>
  <c r="Q5" i="2" s="1"/>
  <c r="L10" i="2"/>
  <c r="O12" i="2"/>
  <c r="R14" i="2"/>
  <c r="H5" i="3"/>
  <c r="W5" i="3"/>
  <c r="M7" i="3"/>
  <c r="AB7" i="3"/>
  <c r="R9" i="3"/>
  <c r="H11" i="3"/>
  <c r="W11" i="3"/>
  <c r="M13" i="3"/>
  <c r="AB13" i="3"/>
  <c r="R15" i="3"/>
  <c r="L4" i="4"/>
  <c r="O6" i="4"/>
  <c r="R8" i="4"/>
  <c r="F12" i="4"/>
  <c r="I14" i="4"/>
  <c r="R15" i="2"/>
  <c r="O5" i="4"/>
  <c r="R7" i="4"/>
  <c r="O11" i="2"/>
  <c r="R13" i="2"/>
  <c r="L8" i="2"/>
  <c r="O10" i="2"/>
  <c r="R12" i="2"/>
  <c r="W4" i="3"/>
  <c r="M6" i="3"/>
  <c r="AB6" i="3"/>
  <c r="R8" i="3"/>
  <c r="H10" i="3"/>
  <c r="W10" i="3"/>
  <c r="M12" i="3"/>
  <c r="AB12" i="3"/>
  <c r="R14" i="3"/>
  <c r="O4" i="4"/>
  <c r="R6" i="4"/>
  <c r="F10" i="4"/>
  <c r="I12" i="4"/>
  <c r="L14" i="4"/>
  <c r="O13" i="2"/>
  <c r="H4" i="2"/>
  <c r="L7" i="2"/>
  <c r="O9" i="2"/>
  <c r="R11" i="2"/>
  <c r="H4" i="3"/>
  <c r="R5" i="4"/>
  <c r="F9" i="4"/>
  <c r="I11" i="4"/>
  <c r="L13" i="4"/>
  <c r="O15" i="4"/>
  <c r="L9" i="2"/>
  <c r="L6" i="2"/>
  <c r="O8" i="2"/>
  <c r="M5" i="3"/>
  <c r="AB5" i="3"/>
  <c r="R7" i="3"/>
  <c r="H9" i="3"/>
  <c r="W9" i="3"/>
  <c r="M11" i="3"/>
  <c r="AB11" i="3"/>
  <c r="R13" i="3"/>
  <c r="H15" i="3"/>
  <c r="R4" i="4"/>
  <c r="F8" i="4"/>
  <c r="I10" i="4"/>
  <c r="L12" i="4"/>
  <c r="I16" i="4" l="1"/>
  <c r="F16" i="4"/>
  <c r="E18" i="4" s="1"/>
  <c r="O16" i="4"/>
  <c r="N16" i="3"/>
  <c r="L21" i="3" s="1"/>
  <c r="G21" i="3"/>
  <c r="R16" i="3"/>
  <c r="H16" i="3"/>
  <c r="F18" i="3" s="1"/>
  <c r="O16" i="2"/>
  <c r="R16" i="2"/>
  <c r="L16" i="5"/>
  <c r="F16" i="5"/>
  <c r="E16" i="5"/>
  <c r="H4" i="5"/>
  <c r="I16" i="5"/>
  <c r="O16" i="5"/>
  <c r="R16" i="5"/>
  <c r="L16" i="2"/>
  <c r="E16" i="2"/>
  <c r="E18" i="2" s="1"/>
  <c r="R16" i="4"/>
  <c r="H16" i="4"/>
  <c r="H18" i="4" s="1"/>
  <c r="K4" i="4"/>
  <c r="H16" i="2"/>
  <c r="H18" i="2" s="1"/>
  <c r="K4" i="2"/>
  <c r="L16" i="4"/>
  <c r="P4" i="3"/>
  <c r="K16" i="3"/>
  <c r="M16" i="3"/>
  <c r="W16" i="3"/>
  <c r="AB16" i="3"/>
  <c r="S5" i="3"/>
  <c r="S6" i="3" s="1"/>
  <c r="S7" i="3" s="1"/>
  <c r="S8" i="3" s="1"/>
  <c r="S9" i="3" s="1"/>
  <c r="S10" i="3" s="1"/>
  <c r="S11" i="3" s="1"/>
  <c r="S12" i="3" s="1"/>
  <c r="S13" i="3" s="1"/>
  <c r="S14" i="3" s="1"/>
  <c r="S15" i="3" s="1"/>
  <c r="X4" i="3" s="1"/>
  <c r="F21" i="3" l="1"/>
  <c r="E18" i="5"/>
  <c r="H16" i="5"/>
  <c r="H18" i="5" s="1"/>
  <c r="K4" i="5"/>
  <c r="P16" i="3"/>
  <c r="U4" i="3"/>
  <c r="N4" i="2"/>
  <c r="K16" i="2"/>
  <c r="K18" i="2" s="1"/>
  <c r="X5" i="3"/>
  <c r="X6" i="3" s="1"/>
  <c r="X7" i="3" s="1"/>
  <c r="X8" i="3" s="1"/>
  <c r="X9" i="3" s="1"/>
  <c r="X10" i="3" s="1"/>
  <c r="X11" i="3" s="1"/>
  <c r="X12" i="3" s="1"/>
  <c r="X13" i="3" s="1"/>
  <c r="X14" i="3" s="1"/>
  <c r="X15" i="3" s="1"/>
  <c r="AC4" i="3" s="1"/>
  <c r="K16" i="4"/>
  <c r="K18" i="4" s="1"/>
  <c r="N4" i="4"/>
  <c r="S16" i="3"/>
  <c r="Q21" i="3" s="1"/>
  <c r="K18" i="3"/>
  <c r="K21" i="3"/>
  <c r="K16" i="5" l="1"/>
  <c r="K18" i="5" s="1"/>
  <c r="N4" i="5"/>
  <c r="AC5" i="3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Q4" i="4"/>
  <c r="Q16" i="4" s="1"/>
  <c r="Q18" i="4" s="1"/>
  <c r="N16" i="4"/>
  <c r="N18" i="4" s="1"/>
  <c r="X16" i="3"/>
  <c r="V21" i="3" s="1"/>
  <c r="N16" i="2"/>
  <c r="N18" i="2" s="1"/>
  <c r="Q4" i="2"/>
  <c r="Q16" i="2" s="1"/>
  <c r="Q18" i="2" s="1"/>
  <c r="Z4" i="3"/>
  <c r="Z16" i="3" s="1"/>
  <c r="U16" i="3"/>
  <c r="P21" i="3"/>
  <c r="P18" i="3"/>
  <c r="Q4" i="5" l="1"/>
  <c r="Q16" i="5" s="1"/>
  <c r="Q18" i="5" s="1"/>
  <c r="N16" i="5"/>
  <c r="N18" i="5" s="1"/>
  <c r="U21" i="3"/>
  <c r="U18" i="3"/>
  <c r="Z21" i="3"/>
  <c r="AC16" i="3"/>
  <c r="AA21" i="3" s="1"/>
  <c r="Z18" i="3" l="1"/>
</calcChain>
</file>

<file path=xl/sharedStrings.xml><?xml version="1.0" encoding="utf-8"?>
<sst xmlns="http://schemas.openxmlformats.org/spreadsheetml/2006/main" count="172" uniqueCount="32">
  <si>
    <t>Full Time Agent</t>
  </si>
  <si>
    <t>First Year</t>
  </si>
  <si>
    <t>Second Year</t>
  </si>
  <si>
    <t>Third Year</t>
  </si>
  <si>
    <t>Fourth Year</t>
  </si>
  <si>
    <t>Fifth Year</t>
  </si>
  <si>
    <t>Sixth Year</t>
  </si>
  <si>
    <t>Apps</t>
  </si>
  <si>
    <t>1st Yr Pay</t>
  </si>
  <si>
    <t>Residual</t>
  </si>
  <si>
    <t>January/AEP</t>
  </si>
  <si>
    <t>Total</t>
  </si>
  <si>
    <t>Total Year</t>
  </si>
  <si>
    <t>Yr 1</t>
  </si>
  <si>
    <t>Yr 2</t>
  </si>
  <si>
    <t>Yr 3</t>
  </si>
  <si>
    <t>Yr 4</t>
  </si>
  <si>
    <t>Yr 5</t>
  </si>
  <si>
    <t>Yr 6</t>
  </si>
  <si>
    <t>Renewal</t>
  </si>
  <si>
    <t>Retention</t>
  </si>
  <si>
    <t>Life</t>
  </si>
  <si>
    <t>Life Res</t>
  </si>
  <si>
    <t>Medicare Renewal</t>
  </si>
  <si>
    <t>Medicare</t>
  </si>
  <si>
    <t>Medicare Retention</t>
  </si>
  <si>
    <t>Life Policies/Mon</t>
  </si>
  <si>
    <t>Life Annual Prem</t>
  </si>
  <si>
    <t>Life Target Prem</t>
  </si>
  <si>
    <t>Life Residual</t>
  </si>
  <si>
    <t>Life Advance Mons</t>
  </si>
  <si>
    <t>CMS 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</si>
</sst>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m"/>
    <numFmt numFmtId="165" formatCode="&quot;$&quot;#,##0.00"/>
    <numFmt numFmtId="166" formatCode="&quot;$&quot;#,##0"/>
    <numFmt numFmtId="167" formatCode="0.0%"/>
    <numFmt numFmtId="168" formatCode="_(* #,##0_);_(* \(#,##0\);_(* &quot;-&quot;??_);_(@_)"/>
  </numFmts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3">
    <border>
      <left/>
      <right/>
      <top/>
      <bottom/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49" fontId="2" fillId="2" borderId="6" xfId="0" applyNumberFormat="1" applyFont="1" applyFill="1" applyBorder="1" applyAlignment="1">
      <alignment horizontal="center" vertical="top" wrapText="1"/>
    </xf>
    <xf numFmtId="49" fontId="2" fillId="3" borderId="7" xfId="0" applyNumberFormat="1" applyFont="1" applyFill="1" applyBorder="1" applyAlignment="1">
      <alignment horizontal="right" vertical="top" wrapText="1"/>
    </xf>
    <xf numFmtId="0" fontId="0" fillId="0" borderId="8" xfId="0" applyNumberFormat="1" applyBorder="1">
      <alignment vertical="top" wrapText="1"/>
    </xf>
    <xf numFmtId="0" fontId="0" fillId="0" borderId="9" xfId="0" applyNumberFormat="1" applyBorder="1">
      <alignment vertical="top" wrapText="1"/>
    </xf>
    <xf numFmtId="164" fontId="2" fillId="3" borderId="10" xfId="0" applyNumberFormat="1" applyFont="1" applyFill="1" applyBorder="1">
      <alignment vertical="top" wrapText="1"/>
    </xf>
    <xf numFmtId="0" fontId="0" fillId="0" borderId="11" xfId="0" applyNumberFormat="1" applyBorder="1">
      <alignment vertical="top" wrapText="1"/>
    </xf>
    <xf numFmtId="0" fontId="0" fillId="0" borderId="12" xfId="0" applyNumberFormat="1" applyBorder="1">
      <alignment vertical="top" wrapText="1"/>
    </xf>
    <xf numFmtId="49" fontId="2" fillId="3" borderId="10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0" fontId="0" fillId="0" borderId="11" xfId="0" applyBorder="1">
      <alignment vertical="top" wrapText="1"/>
    </xf>
    <xf numFmtId="0" fontId="0" fillId="0" borderId="12" xfId="0" applyBorder="1">
      <alignment vertical="top" wrapText="1"/>
    </xf>
    <xf numFmtId="49" fontId="2" fillId="0" borderId="11" xfId="0" applyNumberFormat="1" applyFont="1" applyBorder="1" applyAlignment="1">
      <alignment horizontal="center" vertical="top" wrapText="1"/>
    </xf>
    <xf numFmtId="165" fontId="2" fillId="0" borderId="12" xfId="0" applyNumberFormat="1" applyFont="1" applyBorder="1">
      <alignment vertical="top" wrapText="1"/>
    </xf>
    <xf numFmtId="49" fontId="2" fillId="0" borderId="12" xfId="0" applyNumberFormat="1" applyFont="1" applyBorder="1" applyAlignment="1">
      <alignment horizontal="center" vertical="top" wrapText="1"/>
    </xf>
    <xf numFmtId="0" fontId="2" fillId="0" borderId="12" xfId="0" applyFont="1" applyBorder="1">
      <alignment vertical="top" wrapText="1"/>
    </xf>
    <xf numFmtId="9" fontId="0" fillId="0" borderId="11" xfId="0" applyNumberFormat="1" applyBorder="1">
      <alignment vertical="top" wrapText="1"/>
    </xf>
    <xf numFmtId="0" fontId="0" fillId="0" borderId="9" xfId="0" applyBorder="1">
      <alignment vertical="top" wrapText="1"/>
    </xf>
    <xf numFmtId="0" fontId="2" fillId="0" borderId="12" xfId="0" applyFont="1" applyBorder="1" applyAlignment="1">
      <alignment horizontal="center" vertical="top" wrapText="1"/>
    </xf>
    <xf numFmtId="166" fontId="0" fillId="0" borderId="11" xfId="0" applyNumberFormat="1" applyBorder="1">
      <alignment vertical="top" wrapText="1"/>
    </xf>
    <xf numFmtId="167" fontId="0" fillId="0" borderId="11" xfId="0" applyNumberFormat="1" applyBorder="1">
      <alignment vertical="top" wrapText="1"/>
    </xf>
    <xf numFmtId="9" fontId="0" fillId="0" borderId="11" xfId="1" applyFont="1" applyBorder="1" applyAlignment="1">
      <alignment vertical="top" wrapText="1"/>
    </xf>
    <xf numFmtId="3" fontId="0" fillId="0" borderId="9" xfId="0" applyNumberFormat="1" applyBorder="1">
      <alignment vertical="top" wrapText="1"/>
    </xf>
    <xf numFmtId="3" fontId="0" fillId="0" borderId="12" xfId="0" applyNumberFormat="1" applyBorder="1">
      <alignment vertical="top" wrapText="1"/>
    </xf>
    <xf numFmtId="166" fontId="2" fillId="0" borderId="12" xfId="0" applyNumberFormat="1" applyFont="1" applyBorder="1">
      <alignment vertical="top" wrapText="1"/>
    </xf>
    <xf numFmtId="168" fontId="0" fillId="0" borderId="9" xfId="2" applyNumberFormat="1" applyFont="1" applyBorder="1" applyAlignment="1">
      <alignment vertical="top" wrapText="1"/>
    </xf>
    <xf numFmtId="168" fontId="0" fillId="0" borderId="12" xfId="2" applyNumberFormat="1" applyFont="1" applyBorder="1" applyAlignment="1">
      <alignment vertical="top" wrapText="1"/>
    </xf>
    <xf numFmtId="3" fontId="2" fillId="0" borderId="12" xfId="0" applyNumberFormat="1" applyFont="1" applyBorder="1">
      <alignment vertical="top" wrapText="1"/>
    </xf>
    <xf numFmtId="0" fontId="1" fillId="0" borderId="0" xfId="0" applyFon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>
      <alignment vertical="top" wrapText="1"/>
    </xf>
    <xf numFmtId="0" fontId="2" fillId="2" borderId="4" xfId="0" applyFont="1" applyFill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2" xfId="0" applyFont="1" applyFill="1" applyBorder="1">
      <alignment vertical="top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4"/>
  <sheetViews>
    <sheetView showGridLines="0" tabSelected="1" zoomScale="200" zoomScaleNormal="200" workbookViewId="0">
      <pane xSplit="1" ySplit="3" topLeftCell="B4" activePane="bottomRight" state="frozen"/>
      <selection pane="topRight"/>
      <selection pane="bottomLeft"/>
      <selection pane="bottomRight" activeCell="B21" sqref="B21"/>
    </sheetView>
  </sheetViews>
  <sheetFormatPr baseColWidth="10" defaultColWidth="16.33203125" defaultRowHeight="20" customHeight="1" x14ac:dyDescent="0.15"/>
  <cols>
    <col min="1" max="1" width="16.33203125" style="1" customWidth="1"/>
    <col min="2" max="2" width="5.1640625" style="1" bestFit="1" customWidth="1"/>
    <col min="3" max="3" width="9.5" style="1" bestFit="1" customWidth="1"/>
    <col min="4" max="4" width="5.1640625" style="1" bestFit="1" customWidth="1"/>
    <col min="5" max="5" width="9.5" style="1" bestFit="1" customWidth="1"/>
    <col min="6" max="6" width="8.1640625" style="1" bestFit="1" customWidth="1"/>
    <col min="7" max="7" width="5.1640625" style="1" bestFit="1" customWidth="1"/>
    <col min="8" max="8" width="9.5" style="1" bestFit="1" customWidth="1"/>
    <col min="9" max="9" width="8.1640625" style="1" bestFit="1" customWidth="1"/>
    <col min="10" max="10" width="5.1640625" style="1" bestFit="1" customWidth="1"/>
    <col min="11" max="11" width="9.5" style="1" bestFit="1" customWidth="1"/>
    <col min="12" max="12" width="8.1640625" style="1" bestFit="1" customWidth="1"/>
    <col min="13" max="13" width="5.1640625" style="1" bestFit="1" customWidth="1"/>
    <col min="14" max="14" width="9.5" style="1" bestFit="1" customWidth="1"/>
    <col min="15" max="15" width="8.1640625" style="1" bestFit="1" customWidth="1"/>
    <col min="16" max="16" width="5.1640625" style="1" bestFit="1" customWidth="1"/>
    <col min="17" max="17" width="9.5" style="1" bestFit="1" customWidth="1"/>
    <col min="18" max="18" width="8.1640625" style="1" bestFit="1" customWidth="1"/>
    <col min="19" max="19" width="16.33203125" style="1" customWidth="1"/>
    <col min="20" max="16384" width="16.33203125" style="1"/>
  </cols>
  <sheetData>
    <row r="1" spans="1:18" ht="27.75" customHeight="1" x14ac:dyDescent="0.1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21.75" customHeight="1" x14ac:dyDescent="0.15">
      <c r="A2" s="2"/>
      <c r="B2" s="32" t="s">
        <v>1</v>
      </c>
      <c r="C2" s="33"/>
      <c r="D2" s="32" t="s">
        <v>2</v>
      </c>
      <c r="E2" s="34"/>
      <c r="F2" s="33"/>
      <c r="G2" s="32" t="s">
        <v>3</v>
      </c>
      <c r="H2" s="34"/>
      <c r="I2" s="33"/>
      <c r="J2" s="32" t="s">
        <v>4</v>
      </c>
      <c r="K2" s="34"/>
      <c r="L2" s="33"/>
      <c r="M2" s="32" t="s">
        <v>5</v>
      </c>
      <c r="N2" s="34"/>
      <c r="O2" s="33"/>
      <c r="P2" s="32" t="s">
        <v>6</v>
      </c>
      <c r="Q2" s="34"/>
      <c r="R2" s="33"/>
    </row>
    <row r="3" spans="1:18" ht="21.75" customHeight="1" x14ac:dyDescent="0.15">
      <c r="A3" s="3"/>
      <c r="B3" s="4" t="s">
        <v>7</v>
      </c>
      <c r="C3" s="4" t="s">
        <v>8</v>
      </c>
      <c r="D3" s="4" t="s">
        <v>7</v>
      </c>
      <c r="E3" s="4" t="s">
        <v>8</v>
      </c>
      <c r="F3" s="4" t="s">
        <v>9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</row>
    <row r="4" spans="1:18" ht="20.75" customHeight="1" x14ac:dyDescent="0.15">
      <c r="A4" s="5" t="s">
        <v>10</v>
      </c>
      <c r="B4" s="6">
        <v>45</v>
      </c>
      <c r="C4" s="25">
        <f>B4*B20</f>
        <v>15615</v>
      </c>
      <c r="D4" s="7">
        <v>45</v>
      </c>
      <c r="E4" s="25">
        <f t="shared" ref="E4:E15" si="0">C4</f>
        <v>15615</v>
      </c>
      <c r="F4" s="25">
        <f t="shared" ref="F4:F15" si="1">$B$20/12*$B$16*$B$21</f>
        <v>2776</v>
      </c>
      <c r="G4" s="7">
        <v>45</v>
      </c>
      <c r="H4" s="25">
        <f t="shared" ref="H4:H15" si="2">E4</f>
        <v>15615</v>
      </c>
      <c r="I4" s="25">
        <f t="shared" ref="I4:I15" si="3">$B$20/12*($B$16+$D$16)*$B$21</f>
        <v>5552</v>
      </c>
      <c r="J4" s="7">
        <v>45</v>
      </c>
      <c r="K4" s="25">
        <f t="shared" ref="K4:K15" si="4">H4</f>
        <v>15615</v>
      </c>
      <c r="L4" s="25">
        <f t="shared" ref="L4:L15" si="5">$B$20/12*($B$16+$D$16+$G$16)*$B$21</f>
        <v>8328</v>
      </c>
      <c r="M4" s="7">
        <v>45</v>
      </c>
      <c r="N4" s="25">
        <f t="shared" ref="N4:N15" si="6">K4</f>
        <v>15615</v>
      </c>
      <c r="O4" s="25">
        <f t="shared" ref="O4:O15" si="7">$B$20/12*($B$16+$D$16+$G$16+$J$16)*$B$21</f>
        <v>11104</v>
      </c>
      <c r="P4" s="7">
        <v>45</v>
      </c>
      <c r="Q4" s="25">
        <f t="shared" ref="Q4:Q15" si="8">N4</f>
        <v>15615</v>
      </c>
      <c r="R4" s="25">
        <f t="shared" ref="R4:R15" si="9">$B$20/12*($B$16+$D$16+$G$16+$J$16+$M$16)*$B$21</f>
        <v>13880</v>
      </c>
    </row>
    <row r="5" spans="1:18" ht="20" customHeight="1" x14ac:dyDescent="0.15">
      <c r="A5" s="8">
        <v>43132</v>
      </c>
      <c r="B5" s="9">
        <v>5</v>
      </c>
      <c r="C5" s="26">
        <f>B5*(B$20/12)*11</f>
        <v>1590.4166666666667</v>
      </c>
      <c r="D5" s="10">
        <v>5</v>
      </c>
      <c r="E5" s="26">
        <f t="shared" si="0"/>
        <v>1590.4166666666667</v>
      </c>
      <c r="F5" s="26">
        <f t="shared" si="1"/>
        <v>2776</v>
      </c>
      <c r="G5" s="10">
        <v>5</v>
      </c>
      <c r="H5" s="26">
        <f t="shared" si="2"/>
        <v>1590.4166666666667</v>
      </c>
      <c r="I5" s="26">
        <f t="shared" si="3"/>
        <v>5552</v>
      </c>
      <c r="J5" s="10">
        <v>5</v>
      </c>
      <c r="K5" s="26">
        <f t="shared" si="4"/>
        <v>1590.4166666666667</v>
      </c>
      <c r="L5" s="26">
        <f t="shared" si="5"/>
        <v>8328</v>
      </c>
      <c r="M5" s="10">
        <v>5</v>
      </c>
      <c r="N5" s="26">
        <f t="shared" si="6"/>
        <v>1590.4166666666667</v>
      </c>
      <c r="O5" s="26">
        <f t="shared" si="7"/>
        <v>11104</v>
      </c>
      <c r="P5" s="10">
        <v>5</v>
      </c>
      <c r="Q5" s="26">
        <f t="shared" si="8"/>
        <v>1590.4166666666667</v>
      </c>
      <c r="R5" s="26">
        <f t="shared" si="9"/>
        <v>13880</v>
      </c>
    </row>
    <row r="6" spans="1:18" ht="20" customHeight="1" x14ac:dyDescent="0.15">
      <c r="A6" s="8">
        <v>43160</v>
      </c>
      <c r="B6" s="9">
        <v>5</v>
      </c>
      <c r="C6" s="26">
        <f>B6*(B$20/12)*10</f>
        <v>1445.8333333333335</v>
      </c>
      <c r="D6" s="10">
        <v>5</v>
      </c>
      <c r="E6" s="26">
        <f t="shared" si="0"/>
        <v>1445.8333333333335</v>
      </c>
      <c r="F6" s="26">
        <f t="shared" si="1"/>
        <v>2776</v>
      </c>
      <c r="G6" s="10">
        <v>5</v>
      </c>
      <c r="H6" s="26">
        <f t="shared" si="2"/>
        <v>1445.8333333333335</v>
      </c>
      <c r="I6" s="26">
        <f t="shared" si="3"/>
        <v>5552</v>
      </c>
      <c r="J6" s="10">
        <v>5</v>
      </c>
      <c r="K6" s="26">
        <f t="shared" si="4"/>
        <v>1445.8333333333335</v>
      </c>
      <c r="L6" s="26">
        <f t="shared" si="5"/>
        <v>8328</v>
      </c>
      <c r="M6" s="10">
        <v>5</v>
      </c>
      <c r="N6" s="26">
        <f t="shared" si="6"/>
        <v>1445.8333333333335</v>
      </c>
      <c r="O6" s="26">
        <f t="shared" si="7"/>
        <v>11104</v>
      </c>
      <c r="P6" s="10">
        <v>5</v>
      </c>
      <c r="Q6" s="26">
        <f t="shared" si="8"/>
        <v>1445.8333333333335</v>
      </c>
      <c r="R6" s="26">
        <f t="shared" si="9"/>
        <v>13880</v>
      </c>
    </row>
    <row r="7" spans="1:18" ht="20" customHeight="1" x14ac:dyDescent="0.15">
      <c r="A7" s="8">
        <v>43191</v>
      </c>
      <c r="B7" s="9">
        <v>5</v>
      </c>
      <c r="C7" s="26">
        <f>B7*(B$20/12)*9</f>
        <v>1301.25</v>
      </c>
      <c r="D7" s="10">
        <v>5</v>
      </c>
      <c r="E7" s="26">
        <f t="shared" si="0"/>
        <v>1301.25</v>
      </c>
      <c r="F7" s="26">
        <f t="shared" si="1"/>
        <v>2776</v>
      </c>
      <c r="G7" s="10">
        <v>5</v>
      </c>
      <c r="H7" s="26">
        <f t="shared" si="2"/>
        <v>1301.25</v>
      </c>
      <c r="I7" s="26">
        <f t="shared" si="3"/>
        <v>5552</v>
      </c>
      <c r="J7" s="10">
        <v>5</v>
      </c>
      <c r="K7" s="26">
        <f t="shared" si="4"/>
        <v>1301.25</v>
      </c>
      <c r="L7" s="26">
        <f t="shared" si="5"/>
        <v>8328</v>
      </c>
      <c r="M7" s="10">
        <v>5</v>
      </c>
      <c r="N7" s="26">
        <f t="shared" si="6"/>
        <v>1301.25</v>
      </c>
      <c r="O7" s="26">
        <f t="shared" si="7"/>
        <v>11104</v>
      </c>
      <c r="P7" s="10">
        <v>5</v>
      </c>
      <c r="Q7" s="26">
        <f t="shared" si="8"/>
        <v>1301.25</v>
      </c>
      <c r="R7" s="26">
        <f t="shared" si="9"/>
        <v>13880</v>
      </c>
    </row>
    <row r="8" spans="1:18" ht="20" customHeight="1" x14ac:dyDescent="0.15">
      <c r="A8" s="8">
        <v>43221</v>
      </c>
      <c r="B8" s="9">
        <v>5</v>
      </c>
      <c r="C8" s="26">
        <f>B8*(B$20/12)*8</f>
        <v>1156.6666666666667</v>
      </c>
      <c r="D8" s="10">
        <v>5</v>
      </c>
      <c r="E8" s="26">
        <f t="shared" si="0"/>
        <v>1156.6666666666667</v>
      </c>
      <c r="F8" s="26">
        <f t="shared" si="1"/>
        <v>2776</v>
      </c>
      <c r="G8" s="10">
        <v>5</v>
      </c>
      <c r="H8" s="26">
        <f t="shared" si="2"/>
        <v>1156.6666666666667</v>
      </c>
      <c r="I8" s="26">
        <f t="shared" si="3"/>
        <v>5552</v>
      </c>
      <c r="J8" s="10">
        <v>5</v>
      </c>
      <c r="K8" s="26">
        <f t="shared" si="4"/>
        <v>1156.6666666666667</v>
      </c>
      <c r="L8" s="26">
        <f t="shared" si="5"/>
        <v>8328</v>
      </c>
      <c r="M8" s="10">
        <v>5</v>
      </c>
      <c r="N8" s="26">
        <f t="shared" si="6"/>
        <v>1156.6666666666667</v>
      </c>
      <c r="O8" s="26">
        <f t="shared" si="7"/>
        <v>11104</v>
      </c>
      <c r="P8" s="10">
        <v>5</v>
      </c>
      <c r="Q8" s="26">
        <f t="shared" si="8"/>
        <v>1156.6666666666667</v>
      </c>
      <c r="R8" s="26">
        <f t="shared" si="9"/>
        <v>13880</v>
      </c>
    </row>
    <row r="9" spans="1:18" ht="20" customHeight="1" x14ac:dyDescent="0.15">
      <c r="A9" s="8">
        <v>43252</v>
      </c>
      <c r="B9" s="9">
        <v>5</v>
      </c>
      <c r="C9" s="26">
        <f>B9*(B$20/12)*7</f>
        <v>1012.0833333333334</v>
      </c>
      <c r="D9" s="10">
        <v>5</v>
      </c>
      <c r="E9" s="26">
        <f t="shared" si="0"/>
        <v>1012.0833333333334</v>
      </c>
      <c r="F9" s="26">
        <f t="shared" si="1"/>
        <v>2776</v>
      </c>
      <c r="G9" s="10">
        <v>5</v>
      </c>
      <c r="H9" s="26">
        <f t="shared" si="2"/>
        <v>1012.0833333333334</v>
      </c>
      <c r="I9" s="26">
        <f t="shared" si="3"/>
        <v>5552</v>
      </c>
      <c r="J9" s="10">
        <v>5</v>
      </c>
      <c r="K9" s="26">
        <f t="shared" si="4"/>
        <v>1012.0833333333334</v>
      </c>
      <c r="L9" s="26">
        <f t="shared" si="5"/>
        <v>8328</v>
      </c>
      <c r="M9" s="10">
        <v>5</v>
      </c>
      <c r="N9" s="26">
        <f t="shared" si="6"/>
        <v>1012.0833333333334</v>
      </c>
      <c r="O9" s="26">
        <f t="shared" si="7"/>
        <v>11104</v>
      </c>
      <c r="P9" s="10">
        <v>5</v>
      </c>
      <c r="Q9" s="26">
        <f t="shared" si="8"/>
        <v>1012.0833333333334</v>
      </c>
      <c r="R9" s="26">
        <f t="shared" si="9"/>
        <v>13880</v>
      </c>
    </row>
    <row r="10" spans="1:18" ht="20" customHeight="1" x14ac:dyDescent="0.15">
      <c r="A10" s="8">
        <v>43282</v>
      </c>
      <c r="B10" s="9">
        <v>5</v>
      </c>
      <c r="C10" s="26">
        <f>B10*(B$20/12)*6</f>
        <v>867.5</v>
      </c>
      <c r="D10" s="10">
        <v>5</v>
      </c>
      <c r="E10" s="26">
        <f t="shared" si="0"/>
        <v>867.5</v>
      </c>
      <c r="F10" s="26">
        <f t="shared" si="1"/>
        <v>2776</v>
      </c>
      <c r="G10" s="10">
        <v>5</v>
      </c>
      <c r="H10" s="26">
        <f t="shared" si="2"/>
        <v>867.5</v>
      </c>
      <c r="I10" s="26">
        <f t="shared" si="3"/>
        <v>5552</v>
      </c>
      <c r="J10" s="10">
        <v>5</v>
      </c>
      <c r="K10" s="26">
        <f t="shared" si="4"/>
        <v>867.5</v>
      </c>
      <c r="L10" s="26">
        <f t="shared" si="5"/>
        <v>8328</v>
      </c>
      <c r="M10" s="10">
        <v>5</v>
      </c>
      <c r="N10" s="26">
        <f t="shared" si="6"/>
        <v>867.5</v>
      </c>
      <c r="O10" s="26">
        <f t="shared" si="7"/>
        <v>11104</v>
      </c>
      <c r="P10" s="10">
        <v>5</v>
      </c>
      <c r="Q10" s="26">
        <f t="shared" si="8"/>
        <v>867.5</v>
      </c>
      <c r="R10" s="26">
        <f t="shared" si="9"/>
        <v>13880</v>
      </c>
    </row>
    <row r="11" spans="1:18" ht="20" customHeight="1" x14ac:dyDescent="0.15">
      <c r="A11" s="8">
        <v>43313</v>
      </c>
      <c r="B11" s="9">
        <v>5</v>
      </c>
      <c r="C11" s="26">
        <f>B11*(B$20/12)*5</f>
        <v>722.91666666666674</v>
      </c>
      <c r="D11" s="10">
        <v>5</v>
      </c>
      <c r="E11" s="26">
        <f t="shared" si="0"/>
        <v>722.91666666666674</v>
      </c>
      <c r="F11" s="26">
        <f t="shared" si="1"/>
        <v>2776</v>
      </c>
      <c r="G11" s="10">
        <v>5</v>
      </c>
      <c r="H11" s="26">
        <f t="shared" si="2"/>
        <v>722.91666666666674</v>
      </c>
      <c r="I11" s="26">
        <f t="shared" si="3"/>
        <v>5552</v>
      </c>
      <c r="J11" s="10">
        <v>5</v>
      </c>
      <c r="K11" s="26">
        <f t="shared" si="4"/>
        <v>722.91666666666674</v>
      </c>
      <c r="L11" s="26">
        <f t="shared" si="5"/>
        <v>8328</v>
      </c>
      <c r="M11" s="10">
        <v>5</v>
      </c>
      <c r="N11" s="26">
        <f t="shared" si="6"/>
        <v>722.91666666666674</v>
      </c>
      <c r="O11" s="26">
        <f t="shared" si="7"/>
        <v>11104</v>
      </c>
      <c r="P11" s="10">
        <v>5</v>
      </c>
      <c r="Q11" s="26">
        <f t="shared" si="8"/>
        <v>722.91666666666674</v>
      </c>
      <c r="R11" s="26">
        <f t="shared" si="9"/>
        <v>13880</v>
      </c>
    </row>
    <row r="12" spans="1:18" ht="20" customHeight="1" x14ac:dyDescent="0.15">
      <c r="A12" s="8">
        <v>43344</v>
      </c>
      <c r="B12" s="9">
        <v>5</v>
      </c>
      <c r="C12" s="26">
        <f>B12*(B$20/12)*4</f>
        <v>578.33333333333337</v>
      </c>
      <c r="D12" s="10">
        <v>5</v>
      </c>
      <c r="E12" s="26">
        <f t="shared" si="0"/>
        <v>578.33333333333337</v>
      </c>
      <c r="F12" s="26">
        <f t="shared" si="1"/>
        <v>2776</v>
      </c>
      <c r="G12" s="10">
        <v>5</v>
      </c>
      <c r="H12" s="26">
        <f t="shared" si="2"/>
        <v>578.33333333333337</v>
      </c>
      <c r="I12" s="26">
        <f t="shared" si="3"/>
        <v>5552</v>
      </c>
      <c r="J12" s="10">
        <v>5</v>
      </c>
      <c r="K12" s="26">
        <f t="shared" si="4"/>
        <v>578.33333333333337</v>
      </c>
      <c r="L12" s="26">
        <f t="shared" si="5"/>
        <v>8328</v>
      </c>
      <c r="M12" s="10">
        <v>5</v>
      </c>
      <c r="N12" s="26">
        <f t="shared" si="6"/>
        <v>578.33333333333337</v>
      </c>
      <c r="O12" s="26">
        <f t="shared" si="7"/>
        <v>11104</v>
      </c>
      <c r="P12" s="10">
        <v>5</v>
      </c>
      <c r="Q12" s="26">
        <f t="shared" si="8"/>
        <v>578.33333333333337</v>
      </c>
      <c r="R12" s="26">
        <f t="shared" si="9"/>
        <v>13880</v>
      </c>
    </row>
    <row r="13" spans="1:18" ht="20" customHeight="1" x14ac:dyDescent="0.15">
      <c r="A13" s="8">
        <v>43374</v>
      </c>
      <c r="B13" s="9">
        <v>5</v>
      </c>
      <c r="C13" s="26">
        <f>B13*(B$20/12)*3</f>
        <v>433.75</v>
      </c>
      <c r="D13" s="10">
        <v>5</v>
      </c>
      <c r="E13" s="26">
        <f t="shared" si="0"/>
        <v>433.75</v>
      </c>
      <c r="F13" s="26">
        <f t="shared" si="1"/>
        <v>2776</v>
      </c>
      <c r="G13" s="10">
        <v>5</v>
      </c>
      <c r="H13" s="26">
        <f t="shared" si="2"/>
        <v>433.75</v>
      </c>
      <c r="I13" s="26">
        <f t="shared" si="3"/>
        <v>5552</v>
      </c>
      <c r="J13" s="10">
        <v>5</v>
      </c>
      <c r="K13" s="26">
        <f t="shared" si="4"/>
        <v>433.75</v>
      </c>
      <c r="L13" s="26">
        <f t="shared" si="5"/>
        <v>8328</v>
      </c>
      <c r="M13" s="10">
        <v>5</v>
      </c>
      <c r="N13" s="26">
        <f t="shared" si="6"/>
        <v>433.75</v>
      </c>
      <c r="O13" s="26">
        <f t="shared" si="7"/>
        <v>11104</v>
      </c>
      <c r="P13" s="10">
        <v>5</v>
      </c>
      <c r="Q13" s="26">
        <f t="shared" si="8"/>
        <v>433.75</v>
      </c>
      <c r="R13" s="26">
        <f t="shared" si="9"/>
        <v>13880</v>
      </c>
    </row>
    <row r="14" spans="1:18" ht="20" customHeight="1" x14ac:dyDescent="0.15">
      <c r="A14" s="8">
        <v>43405</v>
      </c>
      <c r="B14" s="9">
        <v>5</v>
      </c>
      <c r="C14" s="26">
        <f>B14*(B$20/12)*2</f>
        <v>289.16666666666669</v>
      </c>
      <c r="D14" s="10">
        <v>5</v>
      </c>
      <c r="E14" s="26">
        <f t="shared" si="0"/>
        <v>289.16666666666669</v>
      </c>
      <c r="F14" s="26">
        <f t="shared" si="1"/>
        <v>2776</v>
      </c>
      <c r="G14" s="10">
        <v>5</v>
      </c>
      <c r="H14" s="26">
        <f t="shared" si="2"/>
        <v>289.16666666666669</v>
      </c>
      <c r="I14" s="26">
        <f t="shared" si="3"/>
        <v>5552</v>
      </c>
      <c r="J14" s="10">
        <v>5</v>
      </c>
      <c r="K14" s="26">
        <f t="shared" si="4"/>
        <v>289.16666666666669</v>
      </c>
      <c r="L14" s="26">
        <f t="shared" si="5"/>
        <v>8328</v>
      </c>
      <c r="M14" s="10">
        <v>5</v>
      </c>
      <c r="N14" s="26">
        <f t="shared" si="6"/>
        <v>289.16666666666669</v>
      </c>
      <c r="O14" s="26">
        <f t="shared" si="7"/>
        <v>11104</v>
      </c>
      <c r="P14" s="10">
        <v>5</v>
      </c>
      <c r="Q14" s="26">
        <f t="shared" si="8"/>
        <v>289.16666666666669</v>
      </c>
      <c r="R14" s="26">
        <f t="shared" si="9"/>
        <v>13880</v>
      </c>
    </row>
    <row r="15" spans="1:18" ht="20" customHeight="1" x14ac:dyDescent="0.15">
      <c r="A15" s="8">
        <v>43435</v>
      </c>
      <c r="B15" s="9">
        <v>5</v>
      </c>
      <c r="C15" s="26">
        <f>B15*(B$20/12)*1</f>
        <v>144.58333333333334</v>
      </c>
      <c r="D15" s="10">
        <v>5</v>
      </c>
      <c r="E15" s="26">
        <f t="shared" si="0"/>
        <v>144.58333333333334</v>
      </c>
      <c r="F15" s="26">
        <f t="shared" si="1"/>
        <v>2776</v>
      </c>
      <c r="G15" s="10">
        <v>5</v>
      </c>
      <c r="H15" s="26">
        <f t="shared" si="2"/>
        <v>144.58333333333334</v>
      </c>
      <c r="I15" s="26">
        <f t="shared" si="3"/>
        <v>5552</v>
      </c>
      <c r="J15" s="10">
        <v>5</v>
      </c>
      <c r="K15" s="26">
        <f t="shared" si="4"/>
        <v>144.58333333333334</v>
      </c>
      <c r="L15" s="26">
        <f t="shared" si="5"/>
        <v>8328</v>
      </c>
      <c r="M15" s="10">
        <v>5</v>
      </c>
      <c r="N15" s="26">
        <f t="shared" si="6"/>
        <v>144.58333333333334</v>
      </c>
      <c r="O15" s="26">
        <f t="shared" si="7"/>
        <v>11104</v>
      </c>
      <c r="P15" s="10">
        <v>5</v>
      </c>
      <c r="Q15" s="26">
        <f t="shared" si="8"/>
        <v>144.58333333333334</v>
      </c>
      <c r="R15" s="26">
        <f t="shared" si="9"/>
        <v>13880</v>
      </c>
    </row>
    <row r="16" spans="1:18" ht="20" customHeight="1" x14ac:dyDescent="0.15">
      <c r="A16" s="11" t="s">
        <v>11</v>
      </c>
      <c r="B16" s="9">
        <f t="shared" ref="B16:R16" si="10">SUM(B4:B15)</f>
        <v>100</v>
      </c>
      <c r="C16" s="26">
        <f t="shared" si="10"/>
        <v>25157.5</v>
      </c>
      <c r="D16" s="10">
        <f t="shared" si="10"/>
        <v>100</v>
      </c>
      <c r="E16" s="26">
        <f t="shared" si="10"/>
        <v>25157.5</v>
      </c>
      <c r="F16" s="26">
        <f t="shared" si="10"/>
        <v>33312</v>
      </c>
      <c r="G16" s="10">
        <f t="shared" si="10"/>
        <v>100</v>
      </c>
      <c r="H16" s="26">
        <f t="shared" si="10"/>
        <v>25157.5</v>
      </c>
      <c r="I16" s="26">
        <f t="shared" si="10"/>
        <v>66624</v>
      </c>
      <c r="J16" s="10">
        <f t="shared" si="10"/>
        <v>100</v>
      </c>
      <c r="K16" s="26">
        <f t="shared" si="10"/>
        <v>25157.5</v>
      </c>
      <c r="L16" s="26">
        <f t="shared" si="10"/>
        <v>99936</v>
      </c>
      <c r="M16" s="10">
        <f t="shared" si="10"/>
        <v>100</v>
      </c>
      <c r="N16" s="26">
        <f t="shared" si="10"/>
        <v>25157.5</v>
      </c>
      <c r="O16" s="26">
        <f t="shared" si="10"/>
        <v>133248</v>
      </c>
      <c r="P16" s="10">
        <f t="shared" si="10"/>
        <v>100</v>
      </c>
      <c r="Q16" s="26">
        <f t="shared" si="10"/>
        <v>25157.5</v>
      </c>
      <c r="R16" s="26">
        <f t="shared" si="10"/>
        <v>166560</v>
      </c>
    </row>
    <row r="17" spans="1:18" ht="20" customHeight="1" x14ac:dyDescent="0.15">
      <c r="A17" s="12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20" customHeight="1" x14ac:dyDescent="0.15">
      <c r="A18" s="11" t="s">
        <v>12</v>
      </c>
      <c r="B18" s="15" t="s">
        <v>13</v>
      </c>
      <c r="C18" s="27">
        <f>C16</f>
        <v>25157.5</v>
      </c>
      <c r="D18" s="17" t="s">
        <v>14</v>
      </c>
      <c r="E18" s="27">
        <f>E16+F16</f>
        <v>58469.5</v>
      </c>
      <c r="F18" s="18"/>
      <c r="G18" s="17" t="s">
        <v>15</v>
      </c>
      <c r="H18" s="27">
        <f>H16+I16</f>
        <v>91781.5</v>
      </c>
      <c r="I18" s="18"/>
      <c r="J18" s="17" t="s">
        <v>16</v>
      </c>
      <c r="K18" s="27">
        <f>K16+L16</f>
        <v>125093.5</v>
      </c>
      <c r="L18" s="18"/>
      <c r="M18" s="17" t="s">
        <v>17</v>
      </c>
      <c r="N18" s="27">
        <f>N16+O16</f>
        <v>158405.5</v>
      </c>
      <c r="O18" s="18"/>
      <c r="P18" s="17" t="s">
        <v>18</v>
      </c>
      <c r="Q18" s="27">
        <f>Q16+R16</f>
        <v>191717.5</v>
      </c>
      <c r="R18" s="14"/>
    </row>
    <row r="19" spans="1:18" ht="20" customHeight="1" x14ac:dyDescent="0.15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20" customHeight="1" x14ac:dyDescent="0.15">
      <c r="A20" s="11" t="s">
        <v>19</v>
      </c>
      <c r="B20" s="9">
        <v>347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ht="20" customHeight="1" x14ac:dyDescent="0.15">
      <c r="A21" s="11" t="s">
        <v>20</v>
      </c>
      <c r="B21" s="19">
        <v>0.96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0" customHeight="1" x14ac:dyDescent="0.15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20" customHeight="1" x14ac:dyDescent="0.15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20" customHeight="1" x14ac:dyDescent="0.15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</sheetData>
  <mergeCells count="7">
    <mergeCell ref="A1:R1"/>
    <mergeCell ref="B2:C2"/>
    <mergeCell ref="D2:F2"/>
    <mergeCell ref="G2:I2"/>
    <mergeCell ref="J2:L2"/>
    <mergeCell ref="M2:O2"/>
    <mergeCell ref="P2:R2"/>
  </mergeCells>
  <pageMargins left="0.25" right="0.25" top="0.75" bottom="0.75" header="0.27777800000000002" footer="0.27777800000000002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26"/>
  <sheetViews>
    <sheetView showGridLines="0" zoomScale="125" zoomScaleNormal="125" workbookViewId="0">
      <pane xSplit="1" ySplit="3" topLeftCell="B4" activePane="bottomRight" state="frozen"/>
      <selection pane="topRight"/>
      <selection pane="bottomLeft"/>
      <selection pane="bottomRight" activeCell="B21" sqref="B21"/>
    </sheetView>
  </sheetViews>
  <sheetFormatPr baseColWidth="10" defaultColWidth="16.33203125" defaultRowHeight="20" customHeight="1" x14ac:dyDescent="0.15"/>
  <cols>
    <col min="1" max="1" width="18.33203125" style="1" customWidth="1"/>
    <col min="2" max="2" width="6.6640625" style="1" bestFit="1" customWidth="1"/>
    <col min="3" max="3" width="9.5" style="1" bestFit="1" customWidth="1"/>
    <col min="4" max="4" width="6.6640625" style="1" bestFit="1" customWidth="1"/>
    <col min="5" max="5" width="5.1640625" style="1" bestFit="1" customWidth="1"/>
    <col min="6" max="6" width="9.5" style="1" bestFit="1" customWidth="1"/>
    <col min="7" max="7" width="6.6640625" style="1" bestFit="1" customWidth="1"/>
    <col min="8" max="8" width="8.1640625" style="1" bestFit="1" customWidth="1"/>
    <col min="9" max="9" width="7.6640625" style="1" bestFit="1" customWidth="1"/>
    <col min="10" max="10" width="5.1640625" style="1" bestFit="1" customWidth="1"/>
    <col min="11" max="11" width="9.5" style="1" bestFit="1" customWidth="1"/>
    <col min="12" max="12" width="6.6640625" style="1" bestFit="1" customWidth="1"/>
    <col min="13" max="13" width="8.1640625" style="1" bestFit="1" customWidth="1"/>
    <col min="14" max="14" width="7.6640625" style="1" bestFit="1" customWidth="1"/>
    <col min="15" max="15" width="5.1640625" style="1" bestFit="1" customWidth="1"/>
    <col min="16" max="16" width="9.5" style="1" bestFit="1" customWidth="1"/>
    <col min="17" max="17" width="6.6640625" style="1" bestFit="1" customWidth="1"/>
    <col min="18" max="18" width="8.1640625" style="1" bestFit="1" customWidth="1"/>
    <col min="19" max="19" width="7.6640625" style="1" bestFit="1" customWidth="1"/>
    <col min="20" max="20" width="5.1640625" style="1" bestFit="1" customWidth="1"/>
    <col min="21" max="21" width="9.5" style="1" bestFit="1" customWidth="1"/>
    <col min="22" max="22" width="6.6640625" style="1" bestFit="1" customWidth="1"/>
    <col min="23" max="23" width="8.1640625" style="1" bestFit="1" customWidth="1"/>
    <col min="24" max="24" width="7.6640625" style="1" bestFit="1" customWidth="1"/>
    <col min="25" max="25" width="5.1640625" style="1" bestFit="1" customWidth="1"/>
    <col min="26" max="26" width="9.5" style="1" bestFit="1" customWidth="1"/>
    <col min="27" max="27" width="6.6640625" style="1" bestFit="1" customWidth="1"/>
    <col min="28" max="28" width="8.1640625" style="1" bestFit="1" customWidth="1"/>
    <col min="29" max="29" width="7.6640625" style="1" bestFit="1" customWidth="1"/>
    <col min="30" max="30" width="16.33203125" style="1" customWidth="1"/>
    <col min="31" max="16384" width="16.33203125" style="1"/>
  </cols>
  <sheetData>
    <row r="1" spans="1:29" ht="27.75" customHeight="1" x14ac:dyDescent="0.1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spans="1:29" ht="21.75" customHeight="1" x14ac:dyDescent="0.15">
      <c r="A2" s="2"/>
      <c r="B2" s="32" t="s">
        <v>1</v>
      </c>
      <c r="C2" s="33"/>
      <c r="D2" s="35"/>
      <c r="E2" s="32" t="s">
        <v>2</v>
      </c>
      <c r="F2" s="34"/>
      <c r="G2" s="33"/>
      <c r="H2" s="35"/>
      <c r="I2" s="35"/>
      <c r="J2" s="32" t="s">
        <v>3</v>
      </c>
      <c r="K2" s="34"/>
      <c r="L2" s="33"/>
      <c r="M2" s="35"/>
      <c r="N2" s="35"/>
      <c r="O2" s="32" t="s">
        <v>4</v>
      </c>
      <c r="P2" s="34"/>
      <c r="Q2" s="33"/>
      <c r="R2" s="35"/>
      <c r="S2" s="35"/>
      <c r="T2" s="32" t="s">
        <v>5</v>
      </c>
      <c r="U2" s="34"/>
      <c r="V2" s="33"/>
      <c r="W2" s="35"/>
      <c r="X2" s="35"/>
      <c r="Y2" s="32" t="s">
        <v>6</v>
      </c>
      <c r="Z2" s="34"/>
      <c r="AA2" s="33"/>
      <c r="AB2" s="35"/>
      <c r="AC2" s="36"/>
    </row>
    <row r="3" spans="1:29" ht="21.75" customHeight="1" x14ac:dyDescent="0.15">
      <c r="A3" s="3"/>
      <c r="B3" s="4" t="s">
        <v>7</v>
      </c>
      <c r="C3" s="4" t="s">
        <v>8</v>
      </c>
      <c r="D3" s="4" t="s">
        <v>21</v>
      </c>
      <c r="E3" s="4" t="s">
        <v>7</v>
      </c>
      <c r="F3" s="4" t="s">
        <v>8</v>
      </c>
      <c r="G3" s="4" t="s">
        <v>21</v>
      </c>
      <c r="H3" s="4" t="s">
        <v>9</v>
      </c>
      <c r="I3" s="4" t="s">
        <v>22</v>
      </c>
      <c r="J3" s="4" t="s">
        <v>7</v>
      </c>
      <c r="K3" s="4" t="s">
        <v>8</v>
      </c>
      <c r="L3" s="4" t="s">
        <v>21</v>
      </c>
      <c r="M3" s="4" t="s">
        <v>9</v>
      </c>
      <c r="N3" s="4" t="s">
        <v>22</v>
      </c>
      <c r="O3" s="4" t="s">
        <v>7</v>
      </c>
      <c r="P3" s="4" t="s">
        <v>8</v>
      </c>
      <c r="Q3" s="4" t="s">
        <v>21</v>
      </c>
      <c r="R3" s="4" t="s">
        <v>9</v>
      </c>
      <c r="S3" s="4" t="s">
        <v>22</v>
      </c>
      <c r="T3" s="4" t="s">
        <v>7</v>
      </c>
      <c r="U3" s="4" t="s">
        <v>8</v>
      </c>
      <c r="V3" s="4" t="s">
        <v>21</v>
      </c>
      <c r="W3" s="4" t="s">
        <v>9</v>
      </c>
      <c r="X3" s="4" t="s">
        <v>22</v>
      </c>
      <c r="Y3" s="4" t="s">
        <v>7</v>
      </c>
      <c r="Z3" s="4" t="s">
        <v>8</v>
      </c>
      <c r="AA3" s="4" t="s">
        <v>21</v>
      </c>
      <c r="AB3" s="4" t="s">
        <v>9</v>
      </c>
      <c r="AC3" s="4" t="s">
        <v>22</v>
      </c>
    </row>
    <row r="4" spans="1:29" ht="20.75" customHeight="1" x14ac:dyDescent="0.15">
      <c r="A4" s="5" t="s">
        <v>10</v>
      </c>
      <c r="B4" s="6">
        <v>90</v>
      </c>
      <c r="C4" s="25">
        <f>B4*B20</f>
        <v>28170</v>
      </c>
      <c r="D4" s="25">
        <f t="shared" ref="D4:D9" si="0">$B$22*$B$23*$B$24*0.5</f>
        <v>1200</v>
      </c>
      <c r="E4" s="7">
        <v>90</v>
      </c>
      <c r="F4" s="25">
        <f t="shared" ref="F4:F15" si="1">C4</f>
        <v>28170</v>
      </c>
      <c r="G4" s="25">
        <f>($B$22*$B$23*$B$24*0.5)+(($B$22*$B$23*$B$24)/12)*7</f>
        <v>2600</v>
      </c>
      <c r="H4" s="25">
        <f t="shared" ref="H4:H15" si="2">$B$20/12*$B$16*$B$21</f>
        <v>5007.9999999999991</v>
      </c>
      <c r="I4" s="20"/>
      <c r="J4" s="7">
        <v>90</v>
      </c>
      <c r="K4" s="25">
        <f t="shared" ref="K4:K15" si="3">F4</f>
        <v>28170</v>
      </c>
      <c r="L4" s="25">
        <f t="shared" ref="L4:L15" si="4">($B$22*$B$23*$B$24*0.5)+(($B$22*$B$23*$B$24)/12)*12</f>
        <v>3600</v>
      </c>
      <c r="M4" s="25">
        <f t="shared" ref="M4:M15" si="5">$B$20/12*($B$16+$E$16)*$B$21</f>
        <v>10015.999999999998</v>
      </c>
      <c r="N4" s="28">
        <f>($B$22*($B$23/12)*$B$24*$B$25)+I15</f>
        <v>48</v>
      </c>
      <c r="O4" s="7">
        <v>90</v>
      </c>
      <c r="P4" s="25">
        <f t="shared" ref="P4:P15" si="6">K4</f>
        <v>28170</v>
      </c>
      <c r="Q4" s="25">
        <f t="shared" ref="Q4:Q15" si="7">($B$22*$B$23*$B$24*0.5)+(($B$22*$B$23*$B$24)/12)*12</f>
        <v>3600</v>
      </c>
      <c r="R4" s="25">
        <f t="shared" ref="R4:R15" si="8">$B$20/12*($B$16+$E$16+$J$16)*$B$21</f>
        <v>15024</v>
      </c>
      <c r="S4" s="28">
        <f>($B$22*($B$23/12)*$B$24*$B$25)+N15</f>
        <v>96</v>
      </c>
      <c r="T4" s="7">
        <v>90</v>
      </c>
      <c r="U4" s="25">
        <f t="shared" ref="U4:U15" si="9">P4</f>
        <v>28170</v>
      </c>
      <c r="V4" s="25">
        <f t="shared" ref="V4:V15" si="10">($B$22*$B$23*$B$24*0.5)+(($B$22*$B$23*$B$24)/12)*12</f>
        <v>3600</v>
      </c>
      <c r="W4" s="25">
        <f t="shared" ref="W4:W15" si="11">$B$20/12*($B$16+$E$16+$J$16+$O$16)*$B$21</f>
        <v>20031.999999999996</v>
      </c>
      <c r="X4" s="28">
        <f>($B$22*($B$23/12)*$B$24*$B$25)+S15</f>
        <v>144</v>
      </c>
      <c r="Y4" s="7">
        <v>90</v>
      </c>
      <c r="Z4" s="25">
        <f t="shared" ref="Z4:Z15" si="12">U4</f>
        <v>28170</v>
      </c>
      <c r="AA4" s="25">
        <f t="shared" ref="AA4:AA15" si="13">($B$22*$B$23*$B$24*0.5)+(($B$22*$B$23*$B$24)/12)*12</f>
        <v>3600</v>
      </c>
      <c r="AB4" s="25">
        <f t="shared" ref="AB4:AB15" si="14">$B$20/12*($B$16+$E$16+$J$16+$O$16+$T$16)*$B$21</f>
        <v>25039.999999999996</v>
      </c>
      <c r="AC4" s="28">
        <f>($B$22*($B$23/12)*$B$24*$B$25)+X15</f>
        <v>192</v>
      </c>
    </row>
    <row r="5" spans="1:29" ht="20" customHeight="1" x14ac:dyDescent="0.15">
      <c r="A5" s="8">
        <v>43132</v>
      </c>
      <c r="B5" s="9">
        <v>10</v>
      </c>
      <c r="C5" s="26">
        <f>B5*(B$20/12)*11</f>
        <v>2869.1666666666665</v>
      </c>
      <c r="D5" s="26">
        <f t="shared" si="0"/>
        <v>1200</v>
      </c>
      <c r="E5" s="10">
        <v>10</v>
      </c>
      <c r="F5" s="26">
        <f t="shared" si="1"/>
        <v>2869.1666666666665</v>
      </c>
      <c r="G5" s="26">
        <f>($B$22*$B$23*$B$24*0.5)+(($B$22*$B$23*$B$24)/12)*8</f>
        <v>2800</v>
      </c>
      <c r="H5" s="26">
        <f t="shared" si="2"/>
        <v>5007.9999999999991</v>
      </c>
      <c r="I5" s="29">
        <f>($B$22*($B$23/12)*$B$24*$B$25)</f>
        <v>4</v>
      </c>
      <c r="J5" s="10">
        <v>10</v>
      </c>
      <c r="K5" s="26">
        <f t="shared" si="3"/>
        <v>2869.1666666666665</v>
      </c>
      <c r="L5" s="26">
        <f t="shared" si="4"/>
        <v>3600</v>
      </c>
      <c r="M5" s="26">
        <f t="shared" si="5"/>
        <v>10015.999999999998</v>
      </c>
      <c r="N5" s="29">
        <f t="shared" ref="N5:N15" si="15">($B$22*($B$23/12)*$B$24*$B$25)+N4</f>
        <v>52</v>
      </c>
      <c r="O5" s="10">
        <v>10</v>
      </c>
      <c r="P5" s="26">
        <f t="shared" si="6"/>
        <v>2869.1666666666665</v>
      </c>
      <c r="Q5" s="26">
        <f t="shared" si="7"/>
        <v>3600</v>
      </c>
      <c r="R5" s="26">
        <f t="shared" si="8"/>
        <v>15024</v>
      </c>
      <c r="S5" s="29">
        <f t="shared" ref="S5:S15" si="16">($B$22*($B$23/12)*$B$24*$B$25)+S4</f>
        <v>100</v>
      </c>
      <c r="T5" s="10">
        <v>10</v>
      </c>
      <c r="U5" s="26">
        <f t="shared" si="9"/>
        <v>2869.1666666666665</v>
      </c>
      <c r="V5" s="26">
        <f t="shared" si="10"/>
        <v>3600</v>
      </c>
      <c r="W5" s="26">
        <f t="shared" si="11"/>
        <v>20031.999999999996</v>
      </c>
      <c r="X5" s="29">
        <f t="shared" ref="X5:X15" si="17">($B$22*($B$23/12)*$B$24*$B$25)+X4</f>
        <v>148</v>
      </c>
      <c r="Y5" s="10">
        <v>10</v>
      </c>
      <c r="Z5" s="26">
        <f t="shared" si="12"/>
        <v>2869.1666666666665</v>
      </c>
      <c r="AA5" s="26">
        <f t="shared" si="13"/>
        <v>3600</v>
      </c>
      <c r="AB5" s="26">
        <f t="shared" si="14"/>
        <v>25039.999999999996</v>
      </c>
      <c r="AC5" s="29">
        <f t="shared" ref="AC5:AC15" si="18">($B$22*($B$23/12)*$B$24*$B$25)+AC4</f>
        <v>196</v>
      </c>
    </row>
    <row r="6" spans="1:29" ht="20" customHeight="1" x14ac:dyDescent="0.15">
      <c r="A6" s="8">
        <v>43160</v>
      </c>
      <c r="B6" s="9">
        <v>10</v>
      </c>
      <c r="C6" s="26">
        <f>B6*(B$20/12)*10</f>
        <v>2608.333333333333</v>
      </c>
      <c r="D6" s="26">
        <f t="shared" si="0"/>
        <v>1200</v>
      </c>
      <c r="E6" s="10">
        <v>10</v>
      </c>
      <c r="F6" s="26">
        <f t="shared" si="1"/>
        <v>2608.333333333333</v>
      </c>
      <c r="G6" s="26">
        <f>($B$22*$B$23*$B$24*0.5)+(($B$22*$B$23*$B$24)/12)*9</f>
        <v>3000</v>
      </c>
      <c r="H6" s="26">
        <f t="shared" si="2"/>
        <v>5007.9999999999991</v>
      </c>
      <c r="I6" s="29">
        <f t="shared" ref="I6:I15" si="19">($B$22*($B$23/12)*$B$24*$B$25)+I5</f>
        <v>8</v>
      </c>
      <c r="J6" s="10">
        <v>10</v>
      </c>
      <c r="K6" s="26">
        <f t="shared" si="3"/>
        <v>2608.333333333333</v>
      </c>
      <c r="L6" s="26">
        <f t="shared" si="4"/>
        <v>3600</v>
      </c>
      <c r="M6" s="26">
        <f t="shared" si="5"/>
        <v>10015.999999999998</v>
      </c>
      <c r="N6" s="29">
        <f t="shared" si="15"/>
        <v>56</v>
      </c>
      <c r="O6" s="10">
        <v>10</v>
      </c>
      <c r="P6" s="26">
        <f t="shared" si="6"/>
        <v>2608.333333333333</v>
      </c>
      <c r="Q6" s="26">
        <f t="shared" si="7"/>
        <v>3600</v>
      </c>
      <c r="R6" s="26">
        <f t="shared" si="8"/>
        <v>15024</v>
      </c>
      <c r="S6" s="29">
        <f t="shared" si="16"/>
        <v>104</v>
      </c>
      <c r="T6" s="10">
        <v>10</v>
      </c>
      <c r="U6" s="26">
        <f t="shared" si="9"/>
        <v>2608.333333333333</v>
      </c>
      <c r="V6" s="26">
        <f t="shared" si="10"/>
        <v>3600</v>
      </c>
      <c r="W6" s="26">
        <f t="shared" si="11"/>
        <v>20031.999999999996</v>
      </c>
      <c r="X6" s="29">
        <f t="shared" si="17"/>
        <v>152</v>
      </c>
      <c r="Y6" s="10">
        <v>10</v>
      </c>
      <c r="Z6" s="26">
        <f t="shared" si="12"/>
        <v>2608.333333333333</v>
      </c>
      <c r="AA6" s="26">
        <f t="shared" si="13"/>
        <v>3600</v>
      </c>
      <c r="AB6" s="26">
        <f t="shared" si="14"/>
        <v>25039.999999999996</v>
      </c>
      <c r="AC6" s="29">
        <f t="shared" si="18"/>
        <v>200</v>
      </c>
    </row>
    <row r="7" spans="1:29" ht="20" customHeight="1" x14ac:dyDescent="0.15">
      <c r="A7" s="8">
        <v>43191</v>
      </c>
      <c r="B7" s="9">
        <v>10</v>
      </c>
      <c r="C7" s="26">
        <f>B7*(B$20/12)*9</f>
        <v>2347.5</v>
      </c>
      <c r="D7" s="26">
        <f t="shared" si="0"/>
        <v>1200</v>
      </c>
      <c r="E7" s="10">
        <v>10</v>
      </c>
      <c r="F7" s="26">
        <f t="shared" si="1"/>
        <v>2347.5</v>
      </c>
      <c r="G7" s="26">
        <f>($B$22*$B$23*$B$24*0.5)+(($B$22*$B$23*$B$24)/12)*10</f>
        <v>3200</v>
      </c>
      <c r="H7" s="26">
        <f t="shared" si="2"/>
        <v>5007.9999999999991</v>
      </c>
      <c r="I7" s="29">
        <f t="shared" si="19"/>
        <v>12</v>
      </c>
      <c r="J7" s="10">
        <v>10</v>
      </c>
      <c r="K7" s="26">
        <f t="shared" si="3"/>
        <v>2347.5</v>
      </c>
      <c r="L7" s="26">
        <f t="shared" si="4"/>
        <v>3600</v>
      </c>
      <c r="M7" s="26">
        <f t="shared" si="5"/>
        <v>10015.999999999998</v>
      </c>
      <c r="N7" s="29">
        <f t="shared" si="15"/>
        <v>60</v>
      </c>
      <c r="O7" s="10">
        <v>10</v>
      </c>
      <c r="P7" s="26">
        <f t="shared" si="6"/>
        <v>2347.5</v>
      </c>
      <c r="Q7" s="26">
        <f t="shared" si="7"/>
        <v>3600</v>
      </c>
      <c r="R7" s="26">
        <f t="shared" si="8"/>
        <v>15024</v>
      </c>
      <c r="S7" s="29">
        <f t="shared" si="16"/>
        <v>108</v>
      </c>
      <c r="T7" s="10">
        <v>10</v>
      </c>
      <c r="U7" s="26">
        <f t="shared" si="9"/>
        <v>2347.5</v>
      </c>
      <c r="V7" s="26">
        <f t="shared" si="10"/>
        <v>3600</v>
      </c>
      <c r="W7" s="26">
        <f t="shared" si="11"/>
        <v>20031.999999999996</v>
      </c>
      <c r="X7" s="29">
        <f t="shared" si="17"/>
        <v>156</v>
      </c>
      <c r="Y7" s="10">
        <v>10</v>
      </c>
      <c r="Z7" s="26">
        <f t="shared" si="12"/>
        <v>2347.5</v>
      </c>
      <c r="AA7" s="26">
        <f t="shared" si="13"/>
        <v>3600</v>
      </c>
      <c r="AB7" s="26">
        <f t="shared" si="14"/>
        <v>25039.999999999996</v>
      </c>
      <c r="AC7" s="29">
        <f t="shared" si="18"/>
        <v>204</v>
      </c>
    </row>
    <row r="8" spans="1:29" ht="20" customHeight="1" x14ac:dyDescent="0.15">
      <c r="A8" s="8">
        <v>43221</v>
      </c>
      <c r="B8" s="9">
        <v>10</v>
      </c>
      <c r="C8" s="26">
        <f>B8*(B$20/12)*8</f>
        <v>2086.6666666666665</v>
      </c>
      <c r="D8" s="26">
        <f t="shared" si="0"/>
        <v>1200</v>
      </c>
      <c r="E8" s="10">
        <v>10</v>
      </c>
      <c r="F8" s="26">
        <f t="shared" si="1"/>
        <v>2086.6666666666665</v>
      </c>
      <c r="G8" s="26">
        <f>($B$22*$B$23*$B$24*0.5)+(($B$22*$B$23*$B$24)/12)*11</f>
        <v>3400</v>
      </c>
      <c r="H8" s="26">
        <f t="shared" si="2"/>
        <v>5007.9999999999991</v>
      </c>
      <c r="I8" s="29">
        <f t="shared" si="19"/>
        <v>16</v>
      </c>
      <c r="J8" s="10">
        <v>10</v>
      </c>
      <c r="K8" s="26">
        <f t="shared" si="3"/>
        <v>2086.6666666666665</v>
      </c>
      <c r="L8" s="26">
        <f t="shared" si="4"/>
        <v>3600</v>
      </c>
      <c r="M8" s="26">
        <f t="shared" si="5"/>
        <v>10015.999999999998</v>
      </c>
      <c r="N8" s="29">
        <f t="shared" si="15"/>
        <v>64</v>
      </c>
      <c r="O8" s="10">
        <v>10</v>
      </c>
      <c r="P8" s="26">
        <f t="shared" si="6"/>
        <v>2086.6666666666665</v>
      </c>
      <c r="Q8" s="26">
        <f t="shared" si="7"/>
        <v>3600</v>
      </c>
      <c r="R8" s="26">
        <f t="shared" si="8"/>
        <v>15024</v>
      </c>
      <c r="S8" s="29">
        <f t="shared" si="16"/>
        <v>112</v>
      </c>
      <c r="T8" s="10">
        <v>10</v>
      </c>
      <c r="U8" s="26">
        <f t="shared" si="9"/>
        <v>2086.6666666666665</v>
      </c>
      <c r="V8" s="26">
        <f t="shared" si="10"/>
        <v>3600</v>
      </c>
      <c r="W8" s="26">
        <f t="shared" si="11"/>
        <v>20031.999999999996</v>
      </c>
      <c r="X8" s="29">
        <f t="shared" si="17"/>
        <v>160</v>
      </c>
      <c r="Y8" s="10">
        <v>10</v>
      </c>
      <c r="Z8" s="26">
        <f t="shared" si="12"/>
        <v>2086.6666666666665</v>
      </c>
      <c r="AA8" s="26">
        <f t="shared" si="13"/>
        <v>3600</v>
      </c>
      <c r="AB8" s="26">
        <f t="shared" si="14"/>
        <v>25039.999999999996</v>
      </c>
      <c r="AC8" s="29">
        <f t="shared" si="18"/>
        <v>208</v>
      </c>
    </row>
    <row r="9" spans="1:29" ht="20" customHeight="1" x14ac:dyDescent="0.15">
      <c r="A9" s="8">
        <v>43252</v>
      </c>
      <c r="B9" s="9">
        <v>10</v>
      </c>
      <c r="C9" s="26">
        <f>B9*(B$20/12)*7</f>
        <v>1825.8333333333333</v>
      </c>
      <c r="D9" s="26">
        <f t="shared" si="0"/>
        <v>1200</v>
      </c>
      <c r="E9" s="10">
        <v>10</v>
      </c>
      <c r="F9" s="26">
        <f t="shared" si="1"/>
        <v>1825.8333333333333</v>
      </c>
      <c r="G9" s="26">
        <f t="shared" ref="G9:G15" si="20">($B$22*$B$23*$B$24*0.5)+(($B$22*$B$23*$B$24)/12)*12</f>
        <v>3600</v>
      </c>
      <c r="H9" s="26">
        <f t="shared" si="2"/>
        <v>5007.9999999999991</v>
      </c>
      <c r="I9" s="29">
        <f t="shared" si="19"/>
        <v>20</v>
      </c>
      <c r="J9" s="10">
        <v>10</v>
      </c>
      <c r="K9" s="26">
        <f t="shared" si="3"/>
        <v>1825.8333333333333</v>
      </c>
      <c r="L9" s="26">
        <f t="shared" si="4"/>
        <v>3600</v>
      </c>
      <c r="M9" s="26">
        <f t="shared" si="5"/>
        <v>10015.999999999998</v>
      </c>
      <c r="N9" s="29">
        <f t="shared" si="15"/>
        <v>68</v>
      </c>
      <c r="O9" s="10">
        <v>10</v>
      </c>
      <c r="P9" s="26">
        <f t="shared" si="6"/>
        <v>1825.8333333333333</v>
      </c>
      <c r="Q9" s="26">
        <f t="shared" si="7"/>
        <v>3600</v>
      </c>
      <c r="R9" s="26">
        <f t="shared" si="8"/>
        <v>15024</v>
      </c>
      <c r="S9" s="29">
        <f t="shared" si="16"/>
        <v>116</v>
      </c>
      <c r="T9" s="10">
        <v>10</v>
      </c>
      <c r="U9" s="26">
        <f t="shared" si="9"/>
        <v>1825.8333333333333</v>
      </c>
      <c r="V9" s="26">
        <f t="shared" si="10"/>
        <v>3600</v>
      </c>
      <c r="W9" s="26">
        <f t="shared" si="11"/>
        <v>20031.999999999996</v>
      </c>
      <c r="X9" s="29">
        <f t="shared" si="17"/>
        <v>164</v>
      </c>
      <c r="Y9" s="10">
        <v>10</v>
      </c>
      <c r="Z9" s="26">
        <f t="shared" si="12"/>
        <v>1825.8333333333333</v>
      </c>
      <c r="AA9" s="26">
        <f t="shared" si="13"/>
        <v>3600</v>
      </c>
      <c r="AB9" s="26">
        <f t="shared" si="14"/>
        <v>25039.999999999996</v>
      </c>
      <c r="AC9" s="29">
        <f t="shared" si="18"/>
        <v>212</v>
      </c>
    </row>
    <row r="10" spans="1:29" ht="20" customHeight="1" x14ac:dyDescent="0.15">
      <c r="A10" s="8">
        <v>43282</v>
      </c>
      <c r="B10" s="9">
        <v>10</v>
      </c>
      <c r="C10" s="26">
        <f>B10*(B$20/12)*6</f>
        <v>1565</v>
      </c>
      <c r="D10" s="26">
        <f>($B$22*$B$23*$B$24*0.5)+(($B$22*$B$23*$B$24)/12)*1</f>
        <v>1400</v>
      </c>
      <c r="E10" s="10">
        <v>10</v>
      </c>
      <c r="F10" s="26">
        <f t="shared" si="1"/>
        <v>1565</v>
      </c>
      <c r="G10" s="26">
        <f t="shared" si="20"/>
        <v>3600</v>
      </c>
      <c r="H10" s="26">
        <f t="shared" si="2"/>
        <v>5007.9999999999991</v>
      </c>
      <c r="I10" s="29">
        <f t="shared" si="19"/>
        <v>24</v>
      </c>
      <c r="J10" s="10">
        <v>10</v>
      </c>
      <c r="K10" s="26">
        <f t="shared" si="3"/>
        <v>1565</v>
      </c>
      <c r="L10" s="26">
        <f t="shared" si="4"/>
        <v>3600</v>
      </c>
      <c r="M10" s="26">
        <f t="shared" si="5"/>
        <v>10015.999999999998</v>
      </c>
      <c r="N10" s="29">
        <f t="shared" si="15"/>
        <v>72</v>
      </c>
      <c r="O10" s="10">
        <v>10</v>
      </c>
      <c r="P10" s="26">
        <f t="shared" si="6"/>
        <v>1565</v>
      </c>
      <c r="Q10" s="26">
        <f t="shared" si="7"/>
        <v>3600</v>
      </c>
      <c r="R10" s="26">
        <f t="shared" si="8"/>
        <v>15024</v>
      </c>
      <c r="S10" s="29">
        <f t="shared" si="16"/>
        <v>120</v>
      </c>
      <c r="T10" s="10">
        <v>10</v>
      </c>
      <c r="U10" s="26">
        <f t="shared" si="9"/>
        <v>1565</v>
      </c>
      <c r="V10" s="26">
        <f t="shared" si="10"/>
        <v>3600</v>
      </c>
      <c r="W10" s="26">
        <f t="shared" si="11"/>
        <v>20031.999999999996</v>
      </c>
      <c r="X10" s="29">
        <f t="shared" si="17"/>
        <v>168</v>
      </c>
      <c r="Y10" s="10">
        <v>10</v>
      </c>
      <c r="Z10" s="26">
        <f t="shared" si="12"/>
        <v>1565</v>
      </c>
      <c r="AA10" s="26">
        <f t="shared" si="13"/>
        <v>3600</v>
      </c>
      <c r="AB10" s="26">
        <f t="shared" si="14"/>
        <v>25039.999999999996</v>
      </c>
      <c r="AC10" s="29">
        <f t="shared" si="18"/>
        <v>216</v>
      </c>
    </row>
    <row r="11" spans="1:29" ht="20" customHeight="1" x14ac:dyDescent="0.15">
      <c r="A11" s="8">
        <v>43313</v>
      </c>
      <c r="B11" s="9">
        <v>10</v>
      </c>
      <c r="C11" s="26">
        <f>B11*(B$20/12)*5</f>
        <v>1304.1666666666665</v>
      </c>
      <c r="D11" s="26">
        <f>($B$22*$B$23*$B$24*0.5)+(($B$22*$B$23*$B$24)/12)*2</f>
        <v>1600</v>
      </c>
      <c r="E11" s="10">
        <v>10</v>
      </c>
      <c r="F11" s="26">
        <f t="shared" si="1"/>
        <v>1304.1666666666665</v>
      </c>
      <c r="G11" s="26">
        <f t="shared" si="20"/>
        <v>3600</v>
      </c>
      <c r="H11" s="26">
        <f t="shared" si="2"/>
        <v>5007.9999999999991</v>
      </c>
      <c r="I11" s="29">
        <f t="shared" si="19"/>
        <v>28</v>
      </c>
      <c r="J11" s="10">
        <v>10</v>
      </c>
      <c r="K11" s="26">
        <f t="shared" si="3"/>
        <v>1304.1666666666665</v>
      </c>
      <c r="L11" s="26">
        <f t="shared" si="4"/>
        <v>3600</v>
      </c>
      <c r="M11" s="26">
        <f t="shared" si="5"/>
        <v>10015.999999999998</v>
      </c>
      <c r="N11" s="29">
        <f t="shared" si="15"/>
        <v>76</v>
      </c>
      <c r="O11" s="10">
        <v>10</v>
      </c>
      <c r="P11" s="26">
        <f t="shared" si="6"/>
        <v>1304.1666666666665</v>
      </c>
      <c r="Q11" s="26">
        <f t="shared" si="7"/>
        <v>3600</v>
      </c>
      <c r="R11" s="26">
        <f t="shared" si="8"/>
        <v>15024</v>
      </c>
      <c r="S11" s="29">
        <f t="shared" si="16"/>
        <v>124</v>
      </c>
      <c r="T11" s="10">
        <v>10</v>
      </c>
      <c r="U11" s="26">
        <f t="shared" si="9"/>
        <v>1304.1666666666665</v>
      </c>
      <c r="V11" s="26">
        <f t="shared" si="10"/>
        <v>3600</v>
      </c>
      <c r="W11" s="26">
        <f t="shared" si="11"/>
        <v>20031.999999999996</v>
      </c>
      <c r="X11" s="29">
        <f t="shared" si="17"/>
        <v>172</v>
      </c>
      <c r="Y11" s="10">
        <v>10</v>
      </c>
      <c r="Z11" s="26">
        <f t="shared" si="12"/>
        <v>1304.1666666666665</v>
      </c>
      <c r="AA11" s="26">
        <f t="shared" si="13"/>
        <v>3600</v>
      </c>
      <c r="AB11" s="26">
        <f t="shared" si="14"/>
        <v>25039.999999999996</v>
      </c>
      <c r="AC11" s="29">
        <f t="shared" si="18"/>
        <v>220</v>
      </c>
    </row>
    <row r="12" spans="1:29" ht="20" customHeight="1" x14ac:dyDescent="0.15">
      <c r="A12" s="8">
        <v>43344</v>
      </c>
      <c r="B12" s="9">
        <v>10</v>
      </c>
      <c r="C12" s="26">
        <f>B12*(B$20/12)*4</f>
        <v>1043.3333333333333</v>
      </c>
      <c r="D12" s="26">
        <f>($B$22*$B$23*$B$24*0.5)+(($B$22*$B$23*$B$24)/12)*3</f>
        <v>1800</v>
      </c>
      <c r="E12" s="10">
        <v>10</v>
      </c>
      <c r="F12" s="26">
        <f t="shared" si="1"/>
        <v>1043.3333333333333</v>
      </c>
      <c r="G12" s="26">
        <f t="shared" si="20"/>
        <v>3600</v>
      </c>
      <c r="H12" s="26">
        <f t="shared" si="2"/>
        <v>5007.9999999999991</v>
      </c>
      <c r="I12" s="29">
        <f t="shared" si="19"/>
        <v>32</v>
      </c>
      <c r="J12" s="10">
        <v>10</v>
      </c>
      <c r="K12" s="26">
        <f t="shared" si="3"/>
        <v>1043.3333333333333</v>
      </c>
      <c r="L12" s="26">
        <f t="shared" si="4"/>
        <v>3600</v>
      </c>
      <c r="M12" s="26">
        <f t="shared" si="5"/>
        <v>10015.999999999998</v>
      </c>
      <c r="N12" s="29">
        <f t="shared" si="15"/>
        <v>80</v>
      </c>
      <c r="O12" s="10">
        <v>10</v>
      </c>
      <c r="P12" s="26">
        <f t="shared" si="6"/>
        <v>1043.3333333333333</v>
      </c>
      <c r="Q12" s="26">
        <f t="shared" si="7"/>
        <v>3600</v>
      </c>
      <c r="R12" s="26">
        <f t="shared" si="8"/>
        <v>15024</v>
      </c>
      <c r="S12" s="29">
        <f t="shared" si="16"/>
        <v>128</v>
      </c>
      <c r="T12" s="10">
        <v>10</v>
      </c>
      <c r="U12" s="26">
        <f t="shared" si="9"/>
        <v>1043.3333333333333</v>
      </c>
      <c r="V12" s="26">
        <f t="shared" si="10"/>
        <v>3600</v>
      </c>
      <c r="W12" s="26">
        <f t="shared" si="11"/>
        <v>20031.999999999996</v>
      </c>
      <c r="X12" s="29">
        <f t="shared" si="17"/>
        <v>176</v>
      </c>
      <c r="Y12" s="10">
        <v>10</v>
      </c>
      <c r="Z12" s="26">
        <f t="shared" si="12"/>
        <v>1043.3333333333333</v>
      </c>
      <c r="AA12" s="26">
        <f t="shared" si="13"/>
        <v>3600</v>
      </c>
      <c r="AB12" s="26">
        <f t="shared" si="14"/>
        <v>25039.999999999996</v>
      </c>
      <c r="AC12" s="29">
        <f t="shared" si="18"/>
        <v>224</v>
      </c>
    </row>
    <row r="13" spans="1:29" ht="20" customHeight="1" x14ac:dyDescent="0.15">
      <c r="A13" s="8">
        <v>43374</v>
      </c>
      <c r="B13" s="9">
        <v>10</v>
      </c>
      <c r="C13" s="26">
        <f>B13*(B$20/12)*3</f>
        <v>782.5</v>
      </c>
      <c r="D13" s="26">
        <f>($B$22*$B$23*$B$24*0.5)+(($B$22*$B$23*$B$24)/12)*4</f>
        <v>2000</v>
      </c>
      <c r="E13" s="10">
        <v>10</v>
      </c>
      <c r="F13" s="26">
        <f t="shared" si="1"/>
        <v>782.5</v>
      </c>
      <c r="G13" s="26">
        <f t="shared" si="20"/>
        <v>3600</v>
      </c>
      <c r="H13" s="26">
        <f t="shared" si="2"/>
        <v>5007.9999999999991</v>
      </c>
      <c r="I13" s="29">
        <f t="shared" si="19"/>
        <v>36</v>
      </c>
      <c r="J13" s="10">
        <v>10</v>
      </c>
      <c r="K13" s="26">
        <f t="shared" si="3"/>
        <v>782.5</v>
      </c>
      <c r="L13" s="26">
        <f t="shared" si="4"/>
        <v>3600</v>
      </c>
      <c r="M13" s="26">
        <f t="shared" si="5"/>
        <v>10015.999999999998</v>
      </c>
      <c r="N13" s="29">
        <f t="shared" si="15"/>
        <v>84</v>
      </c>
      <c r="O13" s="10">
        <v>10</v>
      </c>
      <c r="P13" s="26">
        <f t="shared" si="6"/>
        <v>782.5</v>
      </c>
      <c r="Q13" s="26">
        <f t="shared" si="7"/>
        <v>3600</v>
      </c>
      <c r="R13" s="26">
        <f t="shared" si="8"/>
        <v>15024</v>
      </c>
      <c r="S13" s="29">
        <f t="shared" si="16"/>
        <v>132</v>
      </c>
      <c r="T13" s="10">
        <v>10</v>
      </c>
      <c r="U13" s="26">
        <f t="shared" si="9"/>
        <v>782.5</v>
      </c>
      <c r="V13" s="26">
        <f t="shared" si="10"/>
        <v>3600</v>
      </c>
      <c r="W13" s="26">
        <f t="shared" si="11"/>
        <v>20031.999999999996</v>
      </c>
      <c r="X13" s="29">
        <f t="shared" si="17"/>
        <v>180</v>
      </c>
      <c r="Y13" s="10">
        <v>10</v>
      </c>
      <c r="Z13" s="26">
        <f t="shared" si="12"/>
        <v>782.5</v>
      </c>
      <c r="AA13" s="26">
        <f t="shared" si="13"/>
        <v>3600</v>
      </c>
      <c r="AB13" s="26">
        <f t="shared" si="14"/>
        <v>25039.999999999996</v>
      </c>
      <c r="AC13" s="29">
        <f t="shared" si="18"/>
        <v>228</v>
      </c>
    </row>
    <row r="14" spans="1:29" ht="20" customHeight="1" x14ac:dyDescent="0.15">
      <c r="A14" s="8">
        <v>43405</v>
      </c>
      <c r="B14" s="9">
        <v>10</v>
      </c>
      <c r="C14" s="26">
        <f>B14*(B$20/12)*2</f>
        <v>521.66666666666663</v>
      </c>
      <c r="D14" s="26">
        <f>($B$22*$B$23*$B$24*0.5)+(($B$22*$B$23*$B$24)/12)*5</f>
        <v>2200</v>
      </c>
      <c r="E14" s="10">
        <v>10</v>
      </c>
      <c r="F14" s="26">
        <f t="shared" si="1"/>
        <v>521.66666666666663</v>
      </c>
      <c r="G14" s="26">
        <f t="shared" si="20"/>
        <v>3600</v>
      </c>
      <c r="H14" s="26">
        <f t="shared" si="2"/>
        <v>5007.9999999999991</v>
      </c>
      <c r="I14" s="29">
        <f t="shared" si="19"/>
        <v>40</v>
      </c>
      <c r="J14" s="10">
        <v>10</v>
      </c>
      <c r="K14" s="26">
        <f t="shared" si="3"/>
        <v>521.66666666666663</v>
      </c>
      <c r="L14" s="26">
        <f t="shared" si="4"/>
        <v>3600</v>
      </c>
      <c r="M14" s="26">
        <f t="shared" si="5"/>
        <v>10015.999999999998</v>
      </c>
      <c r="N14" s="29">
        <f t="shared" si="15"/>
        <v>88</v>
      </c>
      <c r="O14" s="10">
        <v>10</v>
      </c>
      <c r="P14" s="26">
        <f t="shared" si="6"/>
        <v>521.66666666666663</v>
      </c>
      <c r="Q14" s="26">
        <f t="shared" si="7"/>
        <v>3600</v>
      </c>
      <c r="R14" s="26">
        <f t="shared" si="8"/>
        <v>15024</v>
      </c>
      <c r="S14" s="29">
        <f t="shared" si="16"/>
        <v>136</v>
      </c>
      <c r="T14" s="10">
        <v>10</v>
      </c>
      <c r="U14" s="26">
        <f t="shared" si="9"/>
        <v>521.66666666666663</v>
      </c>
      <c r="V14" s="26">
        <f t="shared" si="10"/>
        <v>3600</v>
      </c>
      <c r="W14" s="26">
        <f t="shared" si="11"/>
        <v>20031.999999999996</v>
      </c>
      <c r="X14" s="29">
        <f t="shared" si="17"/>
        <v>184</v>
      </c>
      <c r="Y14" s="10">
        <v>10</v>
      </c>
      <c r="Z14" s="26">
        <f t="shared" si="12"/>
        <v>521.66666666666663</v>
      </c>
      <c r="AA14" s="26">
        <f t="shared" si="13"/>
        <v>3600</v>
      </c>
      <c r="AB14" s="26">
        <f t="shared" si="14"/>
        <v>25039.999999999996</v>
      </c>
      <c r="AC14" s="29">
        <f t="shared" si="18"/>
        <v>232</v>
      </c>
    </row>
    <row r="15" spans="1:29" ht="20" customHeight="1" x14ac:dyDescent="0.15">
      <c r="A15" s="8">
        <v>43435</v>
      </c>
      <c r="B15" s="9">
        <v>10</v>
      </c>
      <c r="C15" s="26">
        <f>B15*(B$20/12)*1</f>
        <v>260.83333333333331</v>
      </c>
      <c r="D15" s="26">
        <f>($B$22*$B$23*$B$24*0.5)+(($B$22*$B$23*$B$24)/12)*6</f>
        <v>2400</v>
      </c>
      <c r="E15" s="10">
        <v>10</v>
      </c>
      <c r="F15" s="26">
        <f t="shared" si="1"/>
        <v>260.83333333333331</v>
      </c>
      <c r="G15" s="26">
        <f t="shared" si="20"/>
        <v>3600</v>
      </c>
      <c r="H15" s="26">
        <f t="shared" si="2"/>
        <v>5007.9999999999991</v>
      </c>
      <c r="I15" s="29">
        <f t="shared" si="19"/>
        <v>44</v>
      </c>
      <c r="J15" s="10">
        <v>10</v>
      </c>
      <c r="K15" s="26">
        <f t="shared" si="3"/>
        <v>260.83333333333331</v>
      </c>
      <c r="L15" s="26">
        <f t="shared" si="4"/>
        <v>3600</v>
      </c>
      <c r="M15" s="26">
        <f t="shared" si="5"/>
        <v>10015.999999999998</v>
      </c>
      <c r="N15" s="29">
        <f t="shared" si="15"/>
        <v>92</v>
      </c>
      <c r="O15" s="10">
        <v>10</v>
      </c>
      <c r="P15" s="26">
        <f t="shared" si="6"/>
        <v>260.83333333333331</v>
      </c>
      <c r="Q15" s="26">
        <f t="shared" si="7"/>
        <v>3600</v>
      </c>
      <c r="R15" s="26">
        <f t="shared" si="8"/>
        <v>15024</v>
      </c>
      <c r="S15" s="29">
        <f t="shared" si="16"/>
        <v>140</v>
      </c>
      <c r="T15" s="10">
        <v>10</v>
      </c>
      <c r="U15" s="26">
        <f t="shared" si="9"/>
        <v>260.83333333333331</v>
      </c>
      <c r="V15" s="26">
        <f t="shared" si="10"/>
        <v>3600</v>
      </c>
      <c r="W15" s="26">
        <f t="shared" si="11"/>
        <v>20031.999999999996</v>
      </c>
      <c r="X15" s="29">
        <f t="shared" si="17"/>
        <v>188</v>
      </c>
      <c r="Y15" s="10">
        <v>10</v>
      </c>
      <c r="Z15" s="26">
        <f t="shared" si="12"/>
        <v>260.83333333333331</v>
      </c>
      <c r="AA15" s="26">
        <f t="shared" si="13"/>
        <v>3600</v>
      </c>
      <c r="AB15" s="26">
        <f t="shared" si="14"/>
        <v>25039.999999999996</v>
      </c>
      <c r="AC15" s="29">
        <f t="shared" si="18"/>
        <v>236</v>
      </c>
    </row>
    <row r="16" spans="1:29" ht="20" customHeight="1" x14ac:dyDescent="0.15">
      <c r="A16" s="11" t="s">
        <v>11</v>
      </c>
      <c r="B16" s="9">
        <f t="shared" ref="B16:AC16" si="21">SUM(B4:B15)</f>
        <v>200</v>
      </c>
      <c r="C16" s="26">
        <f t="shared" si="21"/>
        <v>45385</v>
      </c>
      <c r="D16" s="26">
        <f t="shared" si="21"/>
        <v>18600</v>
      </c>
      <c r="E16" s="10">
        <f t="shared" si="21"/>
        <v>200</v>
      </c>
      <c r="F16" s="26">
        <f t="shared" si="21"/>
        <v>45385</v>
      </c>
      <c r="G16" s="26">
        <f t="shared" si="21"/>
        <v>40200</v>
      </c>
      <c r="H16" s="26">
        <f t="shared" si="21"/>
        <v>60095.999999999993</v>
      </c>
      <c r="I16" s="29">
        <f t="shared" si="21"/>
        <v>264</v>
      </c>
      <c r="J16" s="10">
        <f t="shared" si="21"/>
        <v>200</v>
      </c>
      <c r="K16" s="26">
        <f t="shared" si="21"/>
        <v>45385</v>
      </c>
      <c r="L16" s="26">
        <f t="shared" si="21"/>
        <v>43200</v>
      </c>
      <c r="M16" s="26">
        <f t="shared" si="21"/>
        <v>120191.99999999999</v>
      </c>
      <c r="N16" s="29">
        <f t="shared" si="21"/>
        <v>840</v>
      </c>
      <c r="O16" s="10">
        <f t="shared" si="21"/>
        <v>200</v>
      </c>
      <c r="P16" s="26">
        <f t="shared" si="21"/>
        <v>45385</v>
      </c>
      <c r="Q16" s="26">
        <f t="shared" si="21"/>
        <v>43200</v>
      </c>
      <c r="R16" s="26">
        <f t="shared" si="21"/>
        <v>180288</v>
      </c>
      <c r="S16" s="29">
        <f t="shared" si="21"/>
        <v>1416</v>
      </c>
      <c r="T16" s="10">
        <f t="shared" si="21"/>
        <v>200</v>
      </c>
      <c r="U16" s="26">
        <f t="shared" si="21"/>
        <v>45385</v>
      </c>
      <c r="V16" s="26">
        <f t="shared" si="21"/>
        <v>43200</v>
      </c>
      <c r="W16" s="26">
        <f t="shared" si="21"/>
        <v>240383.99999999997</v>
      </c>
      <c r="X16" s="29">
        <f t="shared" si="21"/>
        <v>1992</v>
      </c>
      <c r="Y16" s="10">
        <f t="shared" si="21"/>
        <v>200</v>
      </c>
      <c r="Z16" s="26">
        <f t="shared" si="21"/>
        <v>45385</v>
      </c>
      <c r="AA16" s="26">
        <f t="shared" si="21"/>
        <v>43200</v>
      </c>
      <c r="AB16" s="26">
        <f t="shared" si="21"/>
        <v>300479.99999999994</v>
      </c>
      <c r="AC16" s="29">
        <f t="shared" si="21"/>
        <v>2568</v>
      </c>
    </row>
    <row r="17" spans="1:29" ht="20" customHeight="1" x14ac:dyDescent="0.15">
      <c r="A17" s="12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20" customHeight="1" x14ac:dyDescent="0.15">
      <c r="A18" s="11" t="s">
        <v>12</v>
      </c>
      <c r="B18" s="15" t="s">
        <v>13</v>
      </c>
      <c r="C18" s="27">
        <f>C16+D16</f>
        <v>63985</v>
      </c>
      <c r="D18" s="16"/>
      <c r="E18" s="17" t="s">
        <v>14</v>
      </c>
      <c r="F18" s="27">
        <f>F16+H16+G16+I16</f>
        <v>145945</v>
      </c>
      <c r="G18" s="18"/>
      <c r="H18" s="18"/>
      <c r="I18" s="21"/>
      <c r="J18" s="17" t="s">
        <v>15</v>
      </c>
      <c r="K18" s="27">
        <f>K16+M16+L16+N16</f>
        <v>209617</v>
      </c>
      <c r="L18" s="18"/>
      <c r="M18" s="18"/>
      <c r="N18" s="18"/>
      <c r="O18" s="17" t="s">
        <v>16</v>
      </c>
      <c r="P18" s="27">
        <f>P16+R16+Q16+S16</f>
        <v>270289</v>
      </c>
      <c r="Q18" s="18"/>
      <c r="R18" s="18"/>
      <c r="S18" s="18"/>
      <c r="T18" s="17" t="s">
        <v>17</v>
      </c>
      <c r="U18" s="27">
        <f>U16+W16+V16+X16</f>
        <v>330961</v>
      </c>
      <c r="V18" s="18"/>
      <c r="W18" s="18"/>
      <c r="X18" s="18"/>
      <c r="Y18" s="17" t="s">
        <v>18</v>
      </c>
      <c r="Z18" s="27">
        <f>Z16+AB16+AA16+AC16</f>
        <v>391632.99999999994</v>
      </c>
      <c r="AA18" s="18"/>
      <c r="AB18" s="14"/>
      <c r="AC18" s="14"/>
    </row>
    <row r="19" spans="1:29" ht="20" customHeight="1" x14ac:dyDescent="0.15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20" customHeight="1" x14ac:dyDescent="0.15">
      <c r="A20" s="11" t="s">
        <v>23</v>
      </c>
      <c r="B20" s="9">
        <v>313</v>
      </c>
      <c r="C20" s="14"/>
      <c r="D20" s="14"/>
      <c r="E20" s="21"/>
      <c r="F20" s="17" t="s">
        <v>24</v>
      </c>
      <c r="G20" s="17" t="s">
        <v>21</v>
      </c>
      <c r="H20" s="14"/>
      <c r="I20" s="14"/>
      <c r="J20" s="21"/>
      <c r="K20" s="17" t="s">
        <v>24</v>
      </c>
      <c r="L20" s="17" t="s">
        <v>21</v>
      </c>
      <c r="M20" s="14"/>
      <c r="N20" s="14"/>
      <c r="O20" s="21"/>
      <c r="P20" s="17" t="s">
        <v>24</v>
      </c>
      <c r="Q20" s="17" t="s">
        <v>21</v>
      </c>
      <c r="R20" s="14"/>
      <c r="S20" s="14"/>
      <c r="T20" s="14"/>
      <c r="U20" s="17" t="s">
        <v>24</v>
      </c>
      <c r="V20" s="17" t="s">
        <v>21</v>
      </c>
      <c r="W20" s="14"/>
      <c r="X20" s="14"/>
      <c r="Y20" s="17" t="s">
        <v>18</v>
      </c>
      <c r="Z20" s="17" t="s">
        <v>24</v>
      </c>
      <c r="AA20" s="17" t="s">
        <v>21</v>
      </c>
      <c r="AB20" s="14"/>
      <c r="AC20" s="14"/>
    </row>
    <row r="21" spans="1:29" ht="20" customHeight="1" x14ac:dyDescent="0.15">
      <c r="A21" s="11" t="s">
        <v>25</v>
      </c>
      <c r="B21" s="19">
        <v>0.96</v>
      </c>
      <c r="C21" s="14"/>
      <c r="D21" s="14"/>
      <c r="E21" s="17" t="s">
        <v>14</v>
      </c>
      <c r="F21" s="26">
        <f>F16+H16</f>
        <v>105481</v>
      </c>
      <c r="G21" s="26">
        <f>G16+I16</f>
        <v>40464</v>
      </c>
      <c r="H21" s="14"/>
      <c r="I21" s="14"/>
      <c r="J21" s="17" t="s">
        <v>15</v>
      </c>
      <c r="K21" s="26">
        <f>K16+M16</f>
        <v>165577</v>
      </c>
      <c r="L21" s="26">
        <f>L16+N16</f>
        <v>44040</v>
      </c>
      <c r="M21" s="14"/>
      <c r="N21" s="14"/>
      <c r="O21" s="17" t="s">
        <v>16</v>
      </c>
      <c r="P21" s="26">
        <f>P16+R16</f>
        <v>225673</v>
      </c>
      <c r="Q21" s="26">
        <f>Q16+S16</f>
        <v>44616</v>
      </c>
      <c r="R21" s="14"/>
      <c r="S21" s="14"/>
      <c r="T21" s="17" t="s">
        <v>17</v>
      </c>
      <c r="U21" s="26">
        <f>U16+W16</f>
        <v>285769</v>
      </c>
      <c r="V21" s="26">
        <f>V16+X16</f>
        <v>45192</v>
      </c>
      <c r="W21" s="14"/>
      <c r="X21" s="14"/>
      <c r="Y21" s="14"/>
      <c r="Z21" s="26">
        <f>Z16+AB16</f>
        <v>345864.99999999994</v>
      </c>
      <c r="AA21" s="26">
        <f>AA16+AC16</f>
        <v>45768</v>
      </c>
      <c r="AB21" s="14"/>
      <c r="AC21" s="14"/>
    </row>
    <row r="22" spans="1:29" ht="20" customHeight="1" x14ac:dyDescent="0.15">
      <c r="A22" s="11" t="s">
        <v>26</v>
      </c>
      <c r="B22" s="9">
        <v>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20" customHeight="1" x14ac:dyDescent="0.15">
      <c r="A23" s="11" t="s">
        <v>27</v>
      </c>
      <c r="B23" s="22">
        <v>2400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20" customHeight="1" x14ac:dyDescent="0.15">
      <c r="A24" s="11" t="s">
        <v>28</v>
      </c>
      <c r="B24" s="23">
        <v>0.5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ht="20" customHeight="1" x14ac:dyDescent="0.15">
      <c r="A25" s="11" t="s">
        <v>29</v>
      </c>
      <c r="B25" s="19">
        <v>0.02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ht="20" customHeight="1" x14ac:dyDescent="0.15">
      <c r="A26" s="11" t="s">
        <v>30</v>
      </c>
      <c r="B26" s="9">
        <v>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</sheetData>
  <mergeCells count="7">
    <mergeCell ref="A1:AC1"/>
    <mergeCell ref="B2:D2"/>
    <mergeCell ref="E2:I2"/>
    <mergeCell ref="J2:N2"/>
    <mergeCell ref="O2:S2"/>
    <mergeCell ref="T2:X2"/>
    <mergeCell ref="Y2:AC2"/>
  </mergeCells>
  <pageMargins left="0.25" right="0.25" top="0.75" bottom="0.75" header="0.27777800000000002" footer="0.27777800000000002"/>
  <pageSetup orientation="landscape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4"/>
  <sheetViews>
    <sheetView showGridLines="0" zoomScale="150" zoomScaleNormal="150" workbookViewId="0">
      <pane xSplit="1" ySplit="3" topLeftCell="B4" activePane="bottomRight" state="frozen"/>
      <selection pane="topRight"/>
      <selection pane="bottomLeft"/>
      <selection pane="bottomRight" activeCell="B21" sqref="B21"/>
    </sheetView>
  </sheetViews>
  <sheetFormatPr baseColWidth="10" defaultColWidth="16.33203125" defaultRowHeight="20" customHeight="1" x14ac:dyDescent="0.15"/>
  <cols>
    <col min="1" max="1" width="16.33203125" style="1" customWidth="1"/>
    <col min="2" max="2" width="8.33203125" style="1" customWidth="1"/>
    <col min="3" max="3" width="11.33203125" style="1" customWidth="1"/>
    <col min="4" max="4" width="7.33203125" style="1" customWidth="1"/>
    <col min="5" max="5" width="11.33203125" style="1" customWidth="1"/>
    <col min="6" max="6" width="10.83203125" style="1" customWidth="1"/>
    <col min="7" max="7" width="8" style="1" customWidth="1"/>
    <col min="8" max="8" width="10.1640625" style="1" customWidth="1"/>
    <col min="9" max="9" width="10.83203125" style="1" customWidth="1"/>
    <col min="10" max="10" width="6.83203125" style="1" customWidth="1"/>
    <col min="11" max="11" width="10.1640625" style="1" customWidth="1"/>
    <col min="12" max="12" width="9.5" style="1" customWidth="1"/>
    <col min="13" max="13" width="6.33203125" style="1" customWidth="1"/>
    <col min="14" max="14" width="10.6640625" style="1" customWidth="1"/>
    <col min="15" max="15" width="9.5" style="1" customWidth="1"/>
    <col min="16" max="16" width="7.1640625" style="1" customWidth="1"/>
    <col min="17" max="17" width="10.5" style="1" customWidth="1"/>
    <col min="18" max="18" width="9.5" style="1" customWidth="1"/>
    <col min="19" max="19" width="16.33203125" style="1" customWidth="1"/>
    <col min="20" max="16384" width="16.33203125" style="1"/>
  </cols>
  <sheetData>
    <row r="1" spans="1:18" ht="27.75" customHeight="1" x14ac:dyDescent="0.1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21.75" customHeight="1" x14ac:dyDescent="0.15">
      <c r="A2" s="2"/>
      <c r="B2" s="32" t="s">
        <v>1</v>
      </c>
      <c r="C2" s="33"/>
      <c r="D2" s="32" t="s">
        <v>2</v>
      </c>
      <c r="E2" s="34"/>
      <c r="F2" s="33"/>
      <c r="G2" s="32" t="s">
        <v>3</v>
      </c>
      <c r="H2" s="34"/>
      <c r="I2" s="33"/>
      <c r="J2" s="32" t="s">
        <v>4</v>
      </c>
      <c r="K2" s="34"/>
      <c r="L2" s="33"/>
      <c r="M2" s="32" t="s">
        <v>5</v>
      </c>
      <c r="N2" s="34"/>
      <c r="O2" s="33"/>
      <c r="P2" s="32" t="s">
        <v>6</v>
      </c>
      <c r="Q2" s="34"/>
      <c r="R2" s="33"/>
    </row>
    <row r="3" spans="1:18" ht="21.75" customHeight="1" x14ac:dyDescent="0.15">
      <c r="A3" s="3"/>
      <c r="B3" s="4" t="s">
        <v>7</v>
      </c>
      <c r="C3" s="4" t="s">
        <v>8</v>
      </c>
      <c r="D3" s="4" t="s">
        <v>7</v>
      </c>
      <c r="E3" s="4" t="s">
        <v>8</v>
      </c>
      <c r="F3" s="4" t="s">
        <v>9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</row>
    <row r="4" spans="1:18" ht="20.75" customHeight="1" x14ac:dyDescent="0.15">
      <c r="A4" s="5" t="s">
        <v>10</v>
      </c>
      <c r="B4" s="6">
        <v>45</v>
      </c>
      <c r="C4" s="25">
        <f>B4*B20</f>
        <v>19440</v>
      </c>
      <c r="D4" s="7">
        <v>45</v>
      </c>
      <c r="E4" s="25">
        <f t="shared" ref="E4:E15" si="0">C4</f>
        <v>19440</v>
      </c>
      <c r="F4" s="25">
        <f t="shared" ref="F4:F15" si="1">$B$20/12*$B$16*$B$21</f>
        <v>3456</v>
      </c>
      <c r="G4" s="7">
        <v>45</v>
      </c>
      <c r="H4" s="25">
        <f t="shared" ref="H4:H15" si="2">E4</f>
        <v>19440</v>
      </c>
      <c r="I4" s="25">
        <f t="shared" ref="I4:I15" si="3">$B$20/12*($B$16+$D$16)*$B$21</f>
        <v>6912</v>
      </c>
      <c r="J4" s="7">
        <v>45</v>
      </c>
      <c r="K4" s="25">
        <f t="shared" ref="K4:K15" si="4">H4</f>
        <v>19440</v>
      </c>
      <c r="L4" s="25">
        <f t="shared" ref="L4:L15" si="5">$B$20/12*($B$16+$D$16+$G$16)*$B$21</f>
        <v>10368</v>
      </c>
      <c r="M4" s="7">
        <v>45</v>
      </c>
      <c r="N4" s="25">
        <f t="shared" ref="N4:N15" si="6">K4</f>
        <v>19440</v>
      </c>
      <c r="O4" s="25">
        <f t="shared" ref="O4:O15" si="7">$B$20/12*($B$16+$D$16+$G$16+$J$16)*$B$21</f>
        <v>13824</v>
      </c>
      <c r="P4" s="7">
        <v>45</v>
      </c>
      <c r="Q4" s="25">
        <f t="shared" ref="Q4:Q15" si="8">N4</f>
        <v>19440</v>
      </c>
      <c r="R4" s="25">
        <f t="shared" ref="R4:R15" si="9">$B$20/12*($B$16+$D$16+$G$16+$J$16+$M$16)*$B$21</f>
        <v>17280</v>
      </c>
    </row>
    <row r="5" spans="1:18" ht="20" customHeight="1" x14ac:dyDescent="0.15">
      <c r="A5" s="8">
        <v>43132</v>
      </c>
      <c r="B5" s="9">
        <v>5</v>
      </c>
      <c r="C5" s="26">
        <f>B5*(B$20/12)*11</f>
        <v>1980</v>
      </c>
      <c r="D5" s="10">
        <v>5</v>
      </c>
      <c r="E5" s="26">
        <f t="shared" si="0"/>
        <v>1980</v>
      </c>
      <c r="F5" s="26">
        <f t="shared" si="1"/>
        <v>3456</v>
      </c>
      <c r="G5" s="10">
        <v>5</v>
      </c>
      <c r="H5" s="26">
        <f t="shared" si="2"/>
        <v>1980</v>
      </c>
      <c r="I5" s="26">
        <f t="shared" si="3"/>
        <v>6912</v>
      </c>
      <c r="J5" s="10">
        <v>5</v>
      </c>
      <c r="K5" s="26">
        <f t="shared" si="4"/>
        <v>1980</v>
      </c>
      <c r="L5" s="26">
        <f t="shared" si="5"/>
        <v>10368</v>
      </c>
      <c r="M5" s="10">
        <v>5</v>
      </c>
      <c r="N5" s="26">
        <f t="shared" si="6"/>
        <v>1980</v>
      </c>
      <c r="O5" s="26">
        <f t="shared" si="7"/>
        <v>13824</v>
      </c>
      <c r="P5" s="10">
        <v>5</v>
      </c>
      <c r="Q5" s="26">
        <f t="shared" si="8"/>
        <v>1980</v>
      </c>
      <c r="R5" s="26">
        <f t="shared" si="9"/>
        <v>17280</v>
      </c>
    </row>
    <row r="6" spans="1:18" ht="20" customHeight="1" x14ac:dyDescent="0.15">
      <c r="A6" s="8">
        <v>43160</v>
      </c>
      <c r="B6" s="9">
        <v>5</v>
      </c>
      <c r="C6" s="26">
        <f>B6*(B$20/12)*10</f>
        <v>1800</v>
      </c>
      <c r="D6" s="10">
        <v>5</v>
      </c>
      <c r="E6" s="26">
        <f t="shared" si="0"/>
        <v>1800</v>
      </c>
      <c r="F6" s="26">
        <f t="shared" si="1"/>
        <v>3456</v>
      </c>
      <c r="G6" s="10">
        <v>5</v>
      </c>
      <c r="H6" s="26">
        <f t="shared" si="2"/>
        <v>1800</v>
      </c>
      <c r="I6" s="26">
        <f t="shared" si="3"/>
        <v>6912</v>
      </c>
      <c r="J6" s="10">
        <v>5</v>
      </c>
      <c r="K6" s="26">
        <f t="shared" si="4"/>
        <v>1800</v>
      </c>
      <c r="L6" s="26">
        <f t="shared" si="5"/>
        <v>10368</v>
      </c>
      <c r="M6" s="10">
        <v>5</v>
      </c>
      <c r="N6" s="26">
        <f t="shared" si="6"/>
        <v>1800</v>
      </c>
      <c r="O6" s="26">
        <f t="shared" si="7"/>
        <v>13824</v>
      </c>
      <c r="P6" s="10">
        <v>5</v>
      </c>
      <c r="Q6" s="26">
        <f t="shared" si="8"/>
        <v>1800</v>
      </c>
      <c r="R6" s="26">
        <f t="shared" si="9"/>
        <v>17280</v>
      </c>
    </row>
    <row r="7" spans="1:18" ht="20" customHeight="1" x14ac:dyDescent="0.15">
      <c r="A7" s="8">
        <v>43191</v>
      </c>
      <c r="B7" s="9">
        <v>5</v>
      </c>
      <c r="C7" s="26">
        <f>B7*(B$20/12)*9</f>
        <v>1620</v>
      </c>
      <c r="D7" s="10">
        <v>5</v>
      </c>
      <c r="E7" s="26">
        <f t="shared" si="0"/>
        <v>1620</v>
      </c>
      <c r="F7" s="26">
        <f t="shared" si="1"/>
        <v>3456</v>
      </c>
      <c r="G7" s="10">
        <v>5</v>
      </c>
      <c r="H7" s="26">
        <f t="shared" si="2"/>
        <v>1620</v>
      </c>
      <c r="I7" s="26">
        <f t="shared" si="3"/>
        <v>6912</v>
      </c>
      <c r="J7" s="10">
        <v>5</v>
      </c>
      <c r="K7" s="26">
        <f t="shared" si="4"/>
        <v>1620</v>
      </c>
      <c r="L7" s="26">
        <f t="shared" si="5"/>
        <v>10368</v>
      </c>
      <c r="M7" s="10">
        <v>5</v>
      </c>
      <c r="N7" s="26">
        <f t="shared" si="6"/>
        <v>1620</v>
      </c>
      <c r="O7" s="26">
        <f t="shared" si="7"/>
        <v>13824</v>
      </c>
      <c r="P7" s="10">
        <v>5</v>
      </c>
      <c r="Q7" s="26">
        <f t="shared" si="8"/>
        <v>1620</v>
      </c>
      <c r="R7" s="26">
        <f t="shared" si="9"/>
        <v>17280</v>
      </c>
    </row>
    <row r="8" spans="1:18" ht="20" customHeight="1" x14ac:dyDescent="0.15">
      <c r="A8" s="8">
        <v>43221</v>
      </c>
      <c r="B8" s="9">
        <v>5</v>
      </c>
      <c r="C8" s="26">
        <f>B8*(B$20/12)*8</f>
        <v>1440</v>
      </c>
      <c r="D8" s="10">
        <v>5</v>
      </c>
      <c r="E8" s="26">
        <f t="shared" si="0"/>
        <v>1440</v>
      </c>
      <c r="F8" s="26">
        <f t="shared" si="1"/>
        <v>3456</v>
      </c>
      <c r="G8" s="10">
        <v>5</v>
      </c>
      <c r="H8" s="26">
        <f t="shared" si="2"/>
        <v>1440</v>
      </c>
      <c r="I8" s="26">
        <f t="shared" si="3"/>
        <v>6912</v>
      </c>
      <c r="J8" s="10">
        <v>5</v>
      </c>
      <c r="K8" s="26">
        <f t="shared" si="4"/>
        <v>1440</v>
      </c>
      <c r="L8" s="26">
        <f t="shared" si="5"/>
        <v>10368</v>
      </c>
      <c r="M8" s="10">
        <v>5</v>
      </c>
      <c r="N8" s="26">
        <f t="shared" si="6"/>
        <v>1440</v>
      </c>
      <c r="O8" s="26">
        <f t="shared" si="7"/>
        <v>13824</v>
      </c>
      <c r="P8" s="10">
        <v>5</v>
      </c>
      <c r="Q8" s="26">
        <f t="shared" si="8"/>
        <v>1440</v>
      </c>
      <c r="R8" s="26">
        <f t="shared" si="9"/>
        <v>17280</v>
      </c>
    </row>
    <row r="9" spans="1:18" ht="20" customHeight="1" x14ac:dyDescent="0.15">
      <c r="A9" s="8">
        <v>43252</v>
      </c>
      <c r="B9" s="9">
        <v>5</v>
      </c>
      <c r="C9" s="26">
        <f>B9*(B$20/12)*7</f>
        <v>1260</v>
      </c>
      <c r="D9" s="10">
        <v>5</v>
      </c>
      <c r="E9" s="26">
        <f t="shared" si="0"/>
        <v>1260</v>
      </c>
      <c r="F9" s="26">
        <f t="shared" si="1"/>
        <v>3456</v>
      </c>
      <c r="G9" s="10">
        <v>5</v>
      </c>
      <c r="H9" s="26">
        <f t="shared" si="2"/>
        <v>1260</v>
      </c>
      <c r="I9" s="26">
        <f t="shared" si="3"/>
        <v>6912</v>
      </c>
      <c r="J9" s="10">
        <v>5</v>
      </c>
      <c r="K9" s="26">
        <f t="shared" si="4"/>
        <v>1260</v>
      </c>
      <c r="L9" s="26">
        <f t="shared" si="5"/>
        <v>10368</v>
      </c>
      <c r="M9" s="10">
        <v>5</v>
      </c>
      <c r="N9" s="26">
        <f t="shared" si="6"/>
        <v>1260</v>
      </c>
      <c r="O9" s="26">
        <f t="shared" si="7"/>
        <v>13824</v>
      </c>
      <c r="P9" s="10">
        <v>5</v>
      </c>
      <c r="Q9" s="26">
        <f t="shared" si="8"/>
        <v>1260</v>
      </c>
      <c r="R9" s="26">
        <f t="shared" si="9"/>
        <v>17280</v>
      </c>
    </row>
    <row r="10" spans="1:18" ht="20" customHeight="1" x14ac:dyDescent="0.15">
      <c r="A10" s="8">
        <v>43282</v>
      </c>
      <c r="B10" s="9">
        <v>5</v>
      </c>
      <c r="C10" s="26">
        <f>B10*(B$20/12)*6</f>
        <v>1080</v>
      </c>
      <c r="D10" s="10">
        <v>5</v>
      </c>
      <c r="E10" s="26">
        <f t="shared" si="0"/>
        <v>1080</v>
      </c>
      <c r="F10" s="26">
        <f t="shared" si="1"/>
        <v>3456</v>
      </c>
      <c r="G10" s="10">
        <v>5</v>
      </c>
      <c r="H10" s="26">
        <f t="shared" si="2"/>
        <v>1080</v>
      </c>
      <c r="I10" s="26">
        <f t="shared" si="3"/>
        <v>6912</v>
      </c>
      <c r="J10" s="10">
        <v>5</v>
      </c>
      <c r="K10" s="26">
        <f t="shared" si="4"/>
        <v>1080</v>
      </c>
      <c r="L10" s="26">
        <f t="shared" si="5"/>
        <v>10368</v>
      </c>
      <c r="M10" s="10">
        <v>5</v>
      </c>
      <c r="N10" s="26">
        <f t="shared" si="6"/>
        <v>1080</v>
      </c>
      <c r="O10" s="26">
        <f t="shared" si="7"/>
        <v>13824</v>
      </c>
      <c r="P10" s="10">
        <v>5</v>
      </c>
      <c r="Q10" s="26">
        <f t="shared" si="8"/>
        <v>1080</v>
      </c>
      <c r="R10" s="26">
        <f t="shared" si="9"/>
        <v>17280</v>
      </c>
    </row>
    <row r="11" spans="1:18" ht="20" customHeight="1" x14ac:dyDescent="0.15">
      <c r="A11" s="8">
        <v>43313</v>
      </c>
      <c r="B11" s="9">
        <v>5</v>
      </c>
      <c r="C11" s="26">
        <f>B11*(B$20/12)*5</f>
        <v>900</v>
      </c>
      <c r="D11" s="10">
        <v>5</v>
      </c>
      <c r="E11" s="26">
        <f t="shared" si="0"/>
        <v>900</v>
      </c>
      <c r="F11" s="26">
        <f t="shared" si="1"/>
        <v>3456</v>
      </c>
      <c r="G11" s="10">
        <v>5</v>
      </c>
      <c r="H11" s="26">
        <f t="shared" si="2"/>
        <v>900</v>
      </c>
      <c r="I11" s="26">
        <f t="shared" si="3"/>
        <v>6912</v>
      </c>
      <c r="J11" s="10">
        <v>5</v>
      </c>
      <c r="K11" s="26">
        <f t="shared" si="4"/>
        <v>900</v>
      </c>
      <c r="L11" s="26">
        <f t="shared" si="5"/>
        <v>10368</v>
      </c>
      <c r="M11" s="10">
        <v>5</v>
      </c>
      <c r="N11" s="26">
        <f t="shared" si="6"/>
        <v>900</v>
      </c>
      <c r="O11" s="26">
        <f t="shared" si="7"/>
        <v>13824</v>
      </c>
      <c r="P11" s="10">
        <v>5</v>
      </c>
      <c r="Q11" s="26">
        <f t="shared" si="8"/>
        <v>900</v>
      </c>
      <c r="R11" s="26">
        <f t="shared" si="9"/>
        <v>17280</v>
      </c>
    </row>
    <row r="12" spans="1:18" ht="20" customHeight="1" x14ac:dyDescent="0.15">
      <c r="A12" s="8">
        <v>43344</v>
      </c>
      <c r="B12" s="9">
        <v>5</v>
      </c>
      <c r="C12" s="26">
        <f>B12*(B$20/12)*4</f>
        <v>720</v>
      </c>
      <c r="D12" s="10">
        <v>5</v>
      </c>
      <c r="E12" s="26">
        <f t="shared" si="0"/>
        <v>720</v>
      </c>
      <c r="F12" s="26">
        <f t="shared" si="1"/>
        <v>3456</v>
      </c>
      <c r="G12" s="10">
        <v>5</v>
      </c>
      <c r="H12" s="26">
        <f t="shared" si="2"/>
        <v>720</v>
      </c>
      <c r="I12" s="26">
        <f t="shared" si="3"/>
        <v>6912</v>
      </c>
      <c r="J12" s="10">
        <v>5</v>
      </c>
      <c r="K12" s="26">
        <f t="shared" si="4"/>
        <v>720</v>
      </c>
      <c r="L12" s="26">
        <f t="shared" si="5"/>
        <v>10368</v>
      </c>
      <c r="M12" s="10">
        <v>5</v>
      </c>
      <c r="N12" s="26">
        <f t="shared" si="6"/>
        <v>720</v>
      </c>
      <c r="O12" s="26">
        <f t="shared" si="7"/>
        <v>13824</v>
      </c>
      <c r="P12" s="10">
        <v>5</v>
      </c>
      <c r="Q12" s="26">
        <f t="shared" si="8"/>
        <v>720</v>
      </c>
      <c r="R12" s="26">
        <f t="shared" si="9"/>
        <v>17280</v>
      </c>
    </row>
    <row r="13" spans="1:18" ht="20" customHeight="1" x14ac:dyDescent="0.15">
      <c r="A13" s="8">
        <v>43374</v>
      </c>
      <c r="B13" s="9">
        <v>5</v>
      </c>
      <c r="C13" s="26">
        <f>B13*(B$20/12)*3</f>
        <v>540</v>
      </c>
      <c r="D13" s="10">
        <v>5</v>
      </c>
      <c r="E13" s="26">
        <f t="shared" si="0"/>
        <v>540</v>
      </c>
      <c r="F13" s="26">
        <f t="shared" si="1"/>
        <v>3456</v>
      </c>
      <c r="G13" s="10">
        <v>5</v>
      </c>
      <c r="H13" s="26">
        <f t="shared" si="2"/>
        <v>540</v>
      </c>
      <c r="I13" s="26">
        <f t="shared" si="3"/>
        <v>6912</v>
      </c>
      <c r="J13" s="10">
        <v>5</v>
      </c>
      <c r="K13" s="26">
        <f t="shared" si="4"/>
        <v>540</v>
      </c>
      <c r="L13" s="26">
        <f t="shared" si="5"/>
        <v>10368</v>
      </c>
      <c r="M13" s="10">
        <v>5</v>
      </c>
      <c r="N13" s="26">
        <f t="shared" si="6"/>
        <v>540</v>
      </c>
      <c r="O13" s="26">
        <f t="shared" si="7"/>
        <v>13824</v>
      </c>
      <c r="P13" s="10">
        <v>5</v>
      </c>
      <c r="Q13" s="26">
        <f t="shared" si="8"/>
        <v>540</v>
      </c>
      <c r="R13" s="26">
        <f t="shared" si="9"/>
        <v>17280</v>
      </c>
    </row>
    <row r="14" spans="1:18" ht="20" customHeight="1" x14ac:dyDescent="0.15">
      <c r="A14" s="8">
        <v>43405</v>
      </c>
      <c r="B14" s="9">
        <v>5</v>
      </c>
      <c r="C14" s="26">
        <f>B14*(B$20/12)*2</f>
        <v>360</v>
      </c>
      <c r="D14" s="10">
        <v>5</v>
      </c>
      <c r="E14" s="26">
        <f t="shared" si="0"/>
        <v>360</v>
      </c>
      <c r="F14" s="26">
        <f t="shared" si="1"/>
        <v>3456</v>
      </c>
      <c r="G14" s="10">
        <v>5</v>
      </c>
      <c r="H14" s="26">
        <f t="shared" si="2"/>
        <v>360</v>
      </c>
      <c r="I14" s="26">
        <f t="shared" si="3"/>
        <v>6912</v>
      </c>
      <c r="J14" s="10">
        <v>5</v>
      </c>
      <c r="K14" s="26">
        <f t="shared" si="4"/>
        <v>360</v>
      </c>
      <c r="L14" s="26">
        <f t="shared" si="5"/>
        <v>10368</v>
      </c>
      <c r="M14" s="10">
        <v>5</v>
      </c>
      <c r="N14" s="26">
        <f t="shared" si="6"/>
        <v>360</v>
      </c>
      <c r="O14" s="26">
        <f t="shared" si="7"/>
        <v>13824</v>
      </c>
      <c r="P14" s="10">
        <v>5</v>
      </c>
      <c r="Q14" s="26">
        <f t="shared" si="8"/>
        <v>360</v>
      </c>
      <c r="R14" s="26">
        <f t="shared" si="9"/>
        <v>17280</v>
      </c>
    </row>
    <row r="15" spans="1:18" ht="20" customHeight="1" x14ac:dyDescent="0.15">
      <c r="A15" s="8">
        <v>43435</v>
      </c>
      <c r="B15" s="9">
        <v>5</v>
      </c>
      <c r="C15" s="26">
        <f>B15*(B$20/12)*1</f>
        <v>180</v>
      </c>
      <c r="D15" s="10">
        <v>5</v>
      </c>
      <c r="E15" s="26">
        <f t="shared" si="0"/>
        <v>180</v>
      </c>
      <c r="F15" s="26">
        <f t="shared" si="1"/>
        <v>3456</v>
      </c>
      <c r="G15" s="10">
        <v>5</v>
      </c>
      <c r="H15" s="26">
        <f t="shared" si="2"/>
        <v>180</v>
      </c>
      <c r="I15" s="26">
        <f t="shared" si="3"/>
        <v>6912</v>
      </c>
      <c r="J15" s="10">
        <v>5</v>
      </c>
      <c r="K15" s="26">
        <f t="shared" si="4"/>
        <v>180</v>
      </c>
      <c r="L15" s="26">
        <f t="shared" si="5"/>
        <v>10368</v>
      </c>
      <c r="M15" s="10">
        <v>5</v>
      </c>
      <c r="N15" s="26">
        <f t="shared" si="6"/>
        <v>180</v>
      </c>
      <c r="O15" s="26">
        <f t="shared" si="7"/>
        <v>13824</v>
      </c>
      <c r="P15" s="10">
        <v>5</v>
      </c>
      <c r="Q15" s="26">
        <f t="shared" si="8"/>
        <v>180</v>
      </c>
      <c r="R15" s="26">
        <f t="shared" si="9"/>
        <v>17280</v>
      </c>
    </row>
    <row r="16" spans="1:18" ht="20" customHeight="1" x14ac:dyDescent="0.15">
      <c r="A16" s="11" t="s">
        <v>11</v>
      </c>
      <c r="B16" s="9">
        <f t="shared" ref="B16:R16" si="10">SUM(B4:B15)</f>
        <v>100</v>
      </c>
      <c r="C16" s="26">
        <f t="shared" si="10"/>
        <v>31320</v>
      </c>
      <c r="D16" s="10">
        <f t="shared" si="10"/>
        <v>100</v>
      </c>
      <c r="E16" s="26">
        <f t="shared" si="10"/>
        <v>31320</v>
      </c>
      <c r="F16" s="26">
        <f t="shared" si="10"/>
        <v>41472</v>
      </c>
      <c r="G16" s="10">
        <f t="shared" si="10"/>
        <v>100</v>
      </c>
      <c r="H16" s="26">
        <f t="shared" si="10"/>
        <v>31320</v>
      </c>
      <c r="I16" s="26">
        <f t="shared" si="10"/>
        <v>82944</v>
      </c>
      <c r="J16" s="10">
        <f t="shared" si="10"/>
        <v>100</v>
      </c>
      <c r="K16" s="26">
        <f t="shared" si="10"/>
        <v>31320</v>
      </c>
      <c r="L16" s="26">
        <f t="shared" si="10"/>
        <v>124416</v>
      </c>
      <c r="M16" s="10">
        <f t="shared" si="10"/>
        <v>100</v>
      </c>
      <c r="N16" s="26">
        <f t="shared" si="10"/>
        <v>31320</v>
      </c>
      <c r="O16" s="26">
        <f t="shared" si="10"/>
        <v>165888</v>
      </c>
      <c r="P16" s="10">
        <f t="shared" si="10"/>
        <v>100</v>
      </c>
      <c r="Q16" s="26">
        <f t="shared" si="10"/>
        <v>31320</v>
      </c>
      <c r="R16" s="26">
        <f t="shared" si="10"/>
        <v>207360</v>
      </c>
    </row>
    <row r="17" spans="1:18" ht="20" customHeight="1" x14ac:dyDescent="0.15">
      <c r="A17" s="12"/>
      <c r="B17" s="13"/>
      <c r="C17" s="26"/>
      <c r="D17" s="14"/>
      <c r="E17" s="26"/>
      <c r="F17" s="26"/>
      <c r="G17" s="14"/>
      <c r="H17" s="26"/>
      <c r="I17" s="26"/>
      <c r="J17" s="14"/>
      <c r="K17" s="26"/>
      <c r="L17" s="26"/>
      <c r="M17" s="14"/>
      <c r="N17" s="26"/>
      <c r="O17" s="26"/>
      <c r="P17" s="14"/>
      <c r="Q17" s="26"/>
      <c r="R17" s="26"/>
    </row>
    <row r="18" spans="1:18" ht="20" customHeight="1" x14ac:dyDescent="0.15">
      <c r="A18" s="11" t="s">
        <v>12</v>
      </c>
      <c r="B18" s="15" t="s">
        <v>13</v>
      </c>
      <c r="C18" s="30">
        <f>C16</f>
        <v>31320</v>
      </c>
      <c r="D18" s="17" t="s">
        <v>14</v>
      </c>
      <c r="E18" s="30">
        <f>E16+F16</f>
        <v>72792</v>
      </c>
      <c r="F18" s="30"/>
      <c r="G18" s="17" t="s">
        <v>15</v>
      </c>
      <c r="H18" s="30">
        <f>H16+I16</f>
        <v>114264</v>
      </c>
      <c r="I18" s="30"/>
      <c r="J18" s="17" t="s">
        <v>16</v>
      </c>
      <c r="K18" s="30">
        <f>K16+L16</f>
        <v>155736</v>
      </c>
      <c r="L18" s="30"/>
      <c r="M18" s="17" t="s">
        <v>17</v>
      </c>
      <c r="N18" s="30">
        <f>N16+O16</f>
        <v>197208</v>
      </c>
      <c r="O18" s="30"/>
      <c r="P18" s="17" t="s">
        <v>18</v>
      </c>
      <c r="Q18" s="30">
        <f>Q16+R16</f>
        <v>238680</v>
      </c>
      <c r="R18" s="26"/>
    </row>
    <row r="19" spans="1:18" ht="20" customHeight="1" x14ac:dyDescent="0.15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20" customHeight="1" x14ac:dyDescent="0.15">
      <c r="A20" s="11" t="s">
        <v>19</v>
      </c>
      <c r="B20" s="9">
        <v>432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ht="20" customHeight="1" x14ac:dyDescent="0.15">
      <c r="A21" s="11" t="s">
        <v>20</v>
      </c>
      <c r="B21" s="19">
        <v>0.96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0" customHeight="1" x14ac:dyDescent="0.15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20" customHeight="1" x14ac:dyDescent="0.15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20" customHeight="1" x14ac:dyDescent="0.15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</sheetData>
  <mergeCells count="7">
    <mergeCell ref="A1:R1"/>
    <mergeCell ref="B2:C2"/>
    <mergeCell ref="D2:F2"/>
    <mergeCell ref="G2:I2"/>
    <mergeCell ref="J2:L2"/>
    <mergeCell ref="M2:O2"/>
    <mergeCell ref="P2:R2"/>
  </mergeCells>
  <pageMargins left="0.25" right="0.25" top="0.75" bottom="0.75" header="0.27777800000000002" footer="0.27777800000000002"/>
  <pageSetup orientation="landscape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DC93-5A83-C943-AECD-A2EA53404A46}">
  <sheetPr>
    <pageSetUpPr fitToPage="1"/>
  </sheetPr>
  <dimension ref="A1:R24"/>
  <sheetViews>
    <sheetView showGridLines="0" zoomScale="200" zoomScaleNormal="200" workbookViewId="0">
      <pane xSplit="1" ySplit="3" topLeftCell="B4" activePane="bottomRight" state="frozen"/>
      <selection pane="topRight"/>
      <selection pane="bottomLeft"/>
      <selection pane="bottomRight" activeCell="B21" sqref="B21"/>
    </sheetView>
  </sheetViews>
  <sheetFormatPr baseColWidth="10" defaultColWidth="16.33203125" defaultRowHeight="20" customHeight="1" x14ac:dyDescent="0.15"/>
  <cols>
    <col min="1" max="1" width="16.33203125" style="1" customWidth="1"/>
    <col min="2" max="2" width="5.1640625" style="1" bestFit="1" customWidth="1"/>
    <col min="3" max="3" width="9.5" style="1" bestFit="1" customWidth="1"/>
    <col min="4" max="4" width="5.1640625" style="1" bestFit="1" customWidth="1"/>
    <col min="5" max="5" width="9.5" style="1" bestFit="1" customWidth="1"/>
    <col min="6" max="6" width="8.1640625" style="1" bestFit="1" customWidth="1"/>
    <col min="7" max="7" width="5.1640625" style="1" bestFit="1" customWidth="1"/>
    <col min="8" max="8" width="9.5" style="1" bestFit="1" customWidth="1"/>
    <col min="9" max="9" width="8.1640625" style="1" bestFit="1" customWidth="1"/>
    <col min="10" max="10" width="5.1640625" style="1" bestFit="1" customWidth="1"/>
    <col min="11" max="11" width="9.5" style="1" bestFit="1" customWidth="1"/>
    <col min="12" max="12" width="8.1640625" style="1" bestFit="1" customWidth="1"/>
    <col min="13" max="13" width="5.1640625" style="1" bestFit="1" customWidth="1"/>
    <col min="14" max="14" width="9.5" style="1" bestFit="1" customWidth="1"/>
    <col min="15" max="15" width="8.1640625" style="1" bestFit="1" customWidth="1"/>
    <col min="16" max="16" width="5.1640625" style="1" bestFit="1" customWidth="1"/>
    <col min="17" max="17" width="9.5" style="1" bestFit="1" customWidth="1"/>
    <col min="18" max="18" width="8.1640625" style="1" bestFit="1" customWidth="1"/>
    <col min="19" max="19" width="16.33203125" style="1" customWidth="1"/>
    <col min="20" max="16384" width="16.33203125" style="1"/>
  </cols>
  <sheetData>
    <row r="1" spans="1:18" ht="27.75" customHeight="1" thickBo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21.75" customHeight="1" thickBot="1" x14ac:dyDescent="0.2">
      <c r="A2" s="2"/>
      <c r="B2" s="32" t="s">
        <v>1</v>
      </c>
      <c r="C2" s="33"/>
      <c r="D2" s="32" t="s">
        <v>2</v>
      </c>
      <c r="E2" s="34"/>
      <c r="F2" s="33"/>
      <c r="G2" s="32" t="s">
        <v>3</v>
      </c>
      <c r="H2" s="34"/>
      <c r="I2" s="33"/>
      <c r="J2" s="32" t="s">
        <v>4</v>
      </c>
      <c r="K2" s="34"/>
      <c r="L2" s="33"/>
      <c r="M2" s="32" t="s">
        <v>5</v>
      </c>
      <c r="N2" s="34"/>
      <c r="O2" s="33"/>
      <c r="P2" s="32" t="s">
        <v>6</v>
      </c>
      <c r="Q2" s="34"/>
      <c r="R2" s="33"/>
    </row>
    <row r="3" spans="1:18" ht="21.75" customHeight="1" thickBot="1" x14ac:dyDescent="0.2">
      <c r="A3" s="3"/>
      <c r="B3" s="4" t="s">
        <v>7</v>
      </c>
      <c r="C3" s="4" t="s">
        <v>8</v>
      </c>
      <c r="D3" s="4" t="s">
        <v>7</v>
      </c>
      <c r="E3" s="4" t="s">
        <v>8</v>
      </c>
      <c r="F3" s="4" t="s">
        <v>9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</row>
    <row r="4" spans="1:18" ht="20.75" customHeight="1" x14ac:dyDescent="0.15">
      <c r="A4" s="5" t="s">
        <v>10</v>
      </c>
      <c r="B4" s="6">
        <v>90</v>
      </c>
      <c r="C4" s="25">
        <f>B4*B20</f>
        <v>31230</v>
      </c>
      <c r="D4" s="6">
        <v>90</v>
      </c>
      <c r="E4" s="25">
        <f t="shared" ref="E4:E15" si="0">C4</f>
        <v>31230</v>
      </c>
      <c r="F4" s="26">
        <f t="shared" ref="F4:F6" si="1">$B$20/12*$B$16*$B$21*(1+$B$22)</f>
        <v>5663.04</v>
      </c>
      <c r="G4" s="6">
        <v>90</v>
      </c>
      <c r="H4" s="25">
        <f t="shared" ref="H4:H15" si="2">E4</f>
        <v>31230</v>
      </c>
      <c r="I4" s="25">
        <f>$B$20/12*($B$16+$D$16)*$B$21*(1+($B$22*2))</f>
        <v>11548.16</v>
      </c>
      <c r="J4" s="6">
        <v>90</v>
      </c>
      <c r="K4" s="25">
        <f t="shared" ref="K4:K15" si="3">H4</f>
        <v>31230</v>
      </c>
      <c r="L4" s="25">
        <f t="shared" ref="L4:L15" si="4">$B$20/12*($B$16+$D$16+$G$16)*$B$21</f>
        <v>16656</v>
      </c>
      <c r="M4" s="6">
        <v>90</v>
      </c>
      <c r="N4" s="25">
        <f t="shared" ref="N4:N15" si="5">K4</f>
        <v>31230</v>
      </c>
      <c r="O4" s="25">
        <f t="shared" ref="O4:O15" si="6">$B$20/12*($B$16+$D$16+$G$16+$J$16)*$B$21</f>
        <v>22208</v>
      </c>
      <c r="P4" s="6">
        <v>90</v>
      </c>
      <c r="Q4" s="25">
        <f t="shared" ref="Q4:Q15" si="7">N4</f>
        <v>31230</v>
      </c>
      <c r="R4" s="25">
        <f t="shared" ref="R4:R15" si="8">$B$20/12*($B$16+$D$16+$G$16+$J$16+$M$16)*$B$21</f>
        <v>27760</v>
      </c>
    </row>
    <row r="5" spans="1:18" ht="20" customHeight="1" x14ac:dyDescent="0.15">
      <c r="A5" s="8">
        <v>43132</v>
      </c>
      <c r="B5" s="9">
        <v>10</v>
      </c>
      <c r="C5" s="26">
        <f>B5*(B$20/12)*11</f>
        <v>3180.8333333333335</v>
      </c>
      <c r="D5" s="9">
        <v>10</v>
      </c>
      <c r="E5" s="26">
        <f t="shared" si="0"/>
        <v>3180.8333333333335</v>
      </c>
      <c r="F5" s="26">
        <f t="shared" si="1"/>
        <v>5663.04</v>
      </c>
      <c r="G5" s="9">
        <v>10</v>
      </c>
      <c r="H5" s="26">
        <f t="shared" si="2"/>
        <v>3180.8333333333335</v>
      </c>
      <c r="I5" s="26">
        <f t="shared" ref="I5:I15" si="9">$B$20/12*($B$16+$D$16)*$B$21*(1+($B$22*2))</f>
        <v>11548.16</v>
      </c>
      <c r="J5" s="9">
        <v>10</v>
      </c>
      <c r="K5" s="26">
        <f t="shared" si="3"/>
        <v>3180.8333333333335</v>
      </c>
      <c r="L5" s="26">
        <f t="shared" si="4"/>
        <v>16656</v>
      </c>
      <c r="M5" s="9">
        <v>10</v>
      </c>
      <c r="N5" s="26">
        <f t="shared" si="5"/>
        <v>3180.8333333333335</v>
      </c>
      <c r="O5" s="26">
        <f t="shared" si="6"/>
        <v>22208</v>
      </c>
      <c r="P5" s="9">
        <v>10</v>
      </c>
      <c r="Q5" s="26">
        <f t="shared" si="7"/>
        <v>3180.8333333333335</v>
      </c>
      <c r="R5" s="26">
        <f t="shared" si="8"/>
        <v>27760</v>
      </c>
    </row>
    <row r="6" spans="1:18" ht="20" customHeight="1" x14ac:dyDescent="0.15">
      <c r="A6" s="8">
        <v>43160</v>
      </c>
      <c r="B6" s="9">
        <v>10</v>
      </c>
      <c r="C6" s="26">
        <f>B6*(B$20/12)*10</f>
        <v>2891.666666666667</v>
      </c>
      <c r="D6" s="9">
        <v>10</v>
      </c>
      <c r="E6" s="26">
        <f t="shared" si="0"/>
        <v>2891.666666666667</v>
      </c>
      <c r="F6" s="26">
        <f t="shared" si="1"/>
        <v>5663.04</v>
      </c>
      <c r="G6" s="9">
        <v>10</v>
      </c>
      <c r="H6" s="26">
        <f t="shared" si="2"/>
        <v>2891.666666666667</v>
      </c>
      <c r="I6" s="26">
        <f t="shared" si="9"/>
        <v>11548.16</v>
      </c>
      <c r="J6" s="9">
        <v>10</v>
      </c>
      <c r="K6" s="26">
        <f t="shared" si="3"/>
        <v>2891.666666666667</v>
      </c>
      <c r="L6" s="26">
        <f t="shared" si="4"/>
        <v>16656</v>
      </c>
      <c r="M6" s="9">
        <v>10</v>
      </c>
      <c r="N6" s="26">
        <f t="shared" si="5"/>
        <v>2891.666666666667</v>
      </c>
      <c r="O6" s="26">
        <f t="shared" si="6"/>
        <v>22208</v>
      </c>
      <c r="P6" s="9">
        <v>10</v>
      </c>
      <c r="Q6" s="26">
        <f t="shared" si="7"/>
        <v>2891.666666666667</v>
      </c>
      <c r="R6" s="26">
        <f t="shared" si="8"/>
        <v>27760</v>
      </c>
    </row>
    <row r="7" spans="1:18" ht="20" customHeight="1" x14ac:dyDescent="0.15">
      <c r="A7" s="8">
        <v>43191</v>
      </c>
      <c r="B7" s="9">
        <v>10</v>
      </c>
      <c r="C7" s="26">
        <f>B7*(B$20/12)*9</f>
        <v>2602.5</v>
      </c>
      <c r="D7" s="9">
        <v>10</v>
      </c>
      <c r="E7" s="26">
        <f t="shared" si="0"/>
        <v>2602.5</v>
      </c>
      <c r="F7" s="26">
        <f>$B$20/12*$B$16*$B$21*(1+$B$22)</f>
        <v>5663.04</v>
      </c>
      <c r="G7" s="9">
        <v>10</v>
      </c>
      <c r="H7" s="26">
        <f t="shared" si="2"/>
        <v>2602.5</v>
      </c>
      <c r="I7" s="26">
        <f t="shared" si="9"/>
        <v>11548.16</v>
      </c>
      <c r="J7" s="9">
        <v>10</v>
      </c>
      <c r="K7" s="26">
        <f t="shared" si="3"/>
        <v>2602.5</v>
      </c>
      <c r="L7" s="26">
        <f t="shared" si="4"/>
        <v>16656</v>
      </c>
      <c r="M7" s="9">
        <v>10</v>
      </c>
      <c r="N7" s="26">
        <f t="shared" si="5"/>
        <v>2602.5</v>
      </c>
      <c r="O7" s="26">
        <f t="shared" si="6"/>
        <v>22208</v>
      </c>
      <c r="P7" s="9">
        <v>10</v>
      </c>
      <c r="Q7" s="26">
        <f t="shared" si="7"/>
        <v>2602.5</v>
      </c>
      <c r="R7" s="26">
        <f t="shared" si="8"/>
        <v>27760</v>
      </c>
    </row>
    <row r="8" spans="1:18" ht="20" customHeight="1" x14ac:dyDescent="0.15">
      <c r="A8" s="8">
        <v>43221</v>
      </c>
      <c r="B8" s="9">
        <v>10</v>
      </c>
      <c r="C8" s="26">
        <f>B8*(B$20/12)*8</f>
        <v>2313.3333333333335</v>
      </c>
      <c r="D8" s="9">
        <v>10</v>
      </c>
      <c r="E8" s="26">
        <f t="shared" si="0"/>
        <v>2313.3333333333335</v>
      </c>
      <c r="F8" s="26">
        <f t="shared" ref="F8:F15" si="10">$B$20/12*$B$16*$B$21*(1+$B$22)</f>
        <v>5663.04</v>
      </c>
      <c r="G8" s="9">
        <v>10</v>
      </c>
      <c r="H8" s="26">
        <f t="shared" si="2"/>
        <v>2313.3333333333335</v>
      </c>
      <c r="I8" s="26">
        <f t="shared" si="9"/>
        <v>11548.16</v>
      </c>
      <c r="J8" s="9">
        <v>10</v>
      </c>
      <c r="K8" s="26">
        <f t="shared" si="3"/>
        <v>2313.3333333333335</v>
      </c>
      <c r="L8" s="26">
        <f t="shared" si="4"/>
        <v>16656</v>
      </c>
      <c r="M8" s="9">
        <v>10</v>
      </c>
      <c r="N8" s="26">
        <f t="shared" si="5"/>
        <v>2313.3333333333335</v>
      </c>
      <c r="O8" s="26">
        <f t="shared" si="6"/>
        <v>22208</v>
      </c>
      <c r="P8" s="9">
        <v>10</v>
      </c>
      <c r="Q8" s="26">
        <f t="shared" si="7"/>
        <v>2313.3333333333335</v>
      </c>
      <c r="R8" s="26">
        <f t="shared" si="8"/>
        <v>27760</v>
      </c>
    </row>
    <row r="9" spans="1:18" ht="20" customHeight="1" x14ac:dyDescent="0.15">
      <c r="A9" s="8">
        <v>43252</v>
      </c>
      <c r="B9" s="9">
        <v>10</v>
      </c>
      <c r="C9" s="26">
        <f>B9*(B$20/12)*7</f>
        <v>2024.1666666666667</v>
      </c>
      <c r="D9" s="9">
        <v>10</v>
      </c>
      <c r="E9" s="26">
        <f t="shared" si="0"/>
        <v>2024.1666666666667</v>
      </c>
      <c r="F9" s="26">
        <f t="shared" si="10"/>
        <v>5663.04</v>
      </c>
      <c r="G9" s="9">
        <v>10</v>
      </c>
      <c r="H9" s="26">
        <f t="shared" si="2"/>
        <v>2024.1666666666667</v>
      </c>
      <c r="I9" s="26">
        <f t="shared" si="9"/>
        <v>11548.16</v>
      </c>
      <c r="J9" s="9">
        <v>10</v>
      </c>
      <c r="K9" s="26">
        <f t="shared" si="3"/>
        <v>2024.1666666666667</v>
      </c>
      <c r="L9" s="26">
        <f t="shared" si="4"/>
        <v>16656</v>
      </c>
      <c r="M9" s="9">
        <v>10</v>
      </c>
      <c r="N9" s="26">
        <f t="shared" si="5"/>
        <v>2024.1666666666667</v>
      </c>
      <c r="O9" s="26">
        <f t="shared" si="6"/>
        <v>22208</v>
      </c>
      <c r="P9" s="9">
        <v>10</v>
      </c>
      <c r="Q9" s="26">
        <f t="shared" si="7"/>
        <v>2024.1666666666667</v>
      </c>
      <c r="R9" s="26">
        <f t="shared" si="8"/>
        <v>27760</v>
      </c>
    </row>
    <row r="10" spans="1:18" ht="20" customHeight="1" x14ac:dyDescent="0.15">
      <c r="A10" s="8">
        <v>43282</v>
      </c>
      <c r="B10" s="9">
        <v>10</v>
      </c>
      <c r="C10" s="26">
        <f>B10*(B$20/12)*6</f>
        <v>1735</v>
      </c>
      <c r="D10" s="9">
        <v>10</v>
      </c>
      <c r="E10" s="26">
        <f t="shared" si="0"/>
        <v>1735</v>
      </c>
      <c r="F10" s="26">
        <f t="shared" si="10"/>
        <v>5663.04</v>
      </c>
      <c r="G10" s="9">
        <v>10</v>
      </c>
      <c r="H10" s="26">
        <f t="shared" si="2"/>
        <v>1735</v>
      </c>
      <c r="I10" s="26">
        <f t="shared" si="9"/>
        <v>11548.16</v>
      </c>
      <c r="J10" s="9">
        <v>10</v>
      </c>
      <c r="K10" s="26">
        <f t="shared" si="3"/>
        <v>1735</v>
      </c>
      <c r="L10" s="26">
        <f t="shared" si="4"/>
        <v>16656</v>
      </c>
      <c r="M10" s="9">
        <v>10</v>
      </c>
      <c r="N10" s="26">
        <f t="shared" si="5"/>
        <v>1735</v>
      </c>
      <c r="O10" s="26">
        <f t="shared" si="6"/>
        <v>22208</v>
      </c>
      <c r="P10" s="9">
        <v>10</v>
      </c>
      <c r="Q10" s="26">
        <f t="shared" si="7"/>
        <v>1735</v>
      </c>
      <c r="R10" s="26">
        <f t="shared" si="8"/>
        <v>27760</v>
      </c>
    </row>
    <row r="11" spans="1:18" ht="20" customHeight="1" x14ac:dyDescent="0.15">
      <c r="A11" s="8">
        <v>43313</v>
      </c>
      <c r="B11" s="9">
        <v>10</v>
      </c>
      <c r="C11" s="26">
        <f>B11*(B$20/12)*5</f>
        <v>1445.8333333333335</v>
      </c>
      <c r="D11" s="9">
        <v>10</v>
      </c>
      <c r="E11" s="26">
        <f t="shared" si="0"/>
        <v>1445.8333333333335</v>
      </c>
      <c r="F11" s="26">
        <f t="shared" si="10"/>
        <v>5663.04</v>
      </c>
      <c r="G11" s="9">
        <v>10</v>
      </c>
      <c r="H11" s="26">
        <f t="shared" si="2"/>
        <v>1445.8333333333335</v>
      </c>
      <c r="I11" s="26">
        <f t="shared" si="9"/>
        <v>11548.16</v>
      </c>
      <c r="J11" s="9">
        <v>10</v>
      </c>
      <c r="K11" s="26">
        <f t="shared" si="3"/>
        <v>1445.8333333333335</v>
      </c>
      <c r="L11" s="26">
        <f t="shared" si="4"/>
        <v>16656</v>
      </c>
      <c r="M11" s="9">
        <v>10</v>
      </c>
      <c r="N11" s="26">
        <f t="shared" si="5"/>
        <v>1445.8333333333335</v>
      </c>
      <c r="O11" s="26">
        <f t="shared" si="6"/>
        <v>22208</v>
      </c>
      <c r="P11" s="9">
        <v>10</v>
      </c>
      <c r="Q11" s="26">
        <f t="shared" si="7"/>
        <v>1445.8333333333335</v>
      </c>
      <c r="R11" s="26">
        <f t="shared" si="8"/>
        <v>27760</v>
      </c>
    </row>
    <row r="12" spans="1:18" ht="20" customHeight="1" x14ac:dyDescent="0.15">
      <c r="A12" s="8">
        <v>43344</v>
      </c>
      <c r="B12" s="9">
        <v>10</v>
      </c>
      <c r="C12" s="26">
        <f>B12*(B$20/12)*4</f>
        <v>1156.6666666666667</v>
      </c>
      <c r="D12" s="9">
        <v>10</v>
      </c>
      <c r="E12" s="26">
        <f t="shared" si="0"/>
        <v>1156.6666666666667</v>
      </c>
      <c r="F12" s="26">
        <f t="shared" si="10"/>
        <v>5663.04</v>
      </c>
      <c r="G12" s="9">
        <v>10</v>
      </c>
      <c r="H12" s="26">
        <f t="shared" si="2"/>
        <v>1156.6666666666667</v>
      </c>
      <c r="I12" s="26">
        <f t="shared" si="9"/>
        <v>11548.16</v>
      </c>
      <c r="J12" s="9">
        <v>10</v>
      </c>
      <c r="K12" s="26">
        <f t="shared" si="3"/>
        <v>1156.6666666666667</v>
      </c>
      <c r="L12" s="26">
        <f t="shared" si="4"/>
        <v>16656</v>
      </c>
      <c r="M12" s="9">
        <v>10</v>
      </c>
      <c r="N12" s="26">
        <f t="shared" si="5"/>
        <v>1156.6666666666667</v>
      </c>
      <c r="O12" s="26">
        <f t="shared" si="6"/>
        <v>22208</v>
      </c>
      <c r="P12" s="9">
        <v>10</v>
      </c>
      <c r="Q12" s="26">
        <f t="shared" si="7"/>
        <v>1156.6666666666667</v>
      </c>
      <c r="R12" s="26">
        <f t="shared" si="8"/>
        <v>27760</v>
      </c>
    </row>
    <row r="13" spans="1:18" ht="20" customHeight="1" x14ac:dyDescent="0.15">
      <c r="A13" s="8">
        <v>43374</v>
      </c>
      <c r="B13" s="9">
        <v>10</v>
      </c>
      <c r="C13" s="26">
        <f>B13*(B$20/12)*3</f>
        <v>867.5</v>
      </c>
      <c r="D13" s="9">
        <v>10</v>
      </c>
      <c r="E13" s="26">
        <f t="shared" si="0"/>
        <v>867.5</v>
      </c>
      <c r="F13" s="26">
        <f t="shared" si="10"/>
        <v>5663.04</v>
      </c>
      <c r="G13" s="9">
        <v>10</v>
      </c>
      <c r="H13" s="26">
        <f t="shared" si="2"/>
        <v>867.5</v>
      </c>
      <c r="I13" s="26">
        <f t="shared" si="9"/>
        <v>11548.16</v>
      </c>
      <c r="J13" s="9">
        <v>10</v>
      </c>
      <c r="K13" s="26">
        <f t="shared" si="3"/>
        <v>867.5</v>
      </c>
      <c r="L13" s="26">
        <f t="shared" si="4"/>
        <v>16656</v>
      </c>
      <c r="M13" s="9">
        <v>10</v>
      </c>
      <c r="N13" s="26">
        <f t="shared" si="5"/>
        <v>867.5</v>
      </c>
      <c r="O13" s="26">
        <f t="shared" si="6"/>
        <v>22208</v>
      </c>
      <c r="P13" s="9">
        <v>10</v>
      </c>
      <c r="Q13" s="26">
        <f t="shared" si="7"/>
        <v>867.5</v>
      </c>
      <c r="R13" s="26">
        <f t="shared" si="8"/>
        <v>27760</v>
      </c>
    </row>
    <row r="14" spans="1:18" ht="20" customHeight="1" x14ac:dyDescent="0.15">
      <c r="A14" s="8">
        <v>43405</v>
      </c>
      <c r="B14" s="9">
        <v>10</v>
      </c>
      <c r="C14" s="26">
        <f>B14*(B$20/12)*2</f>
        <v>578.33333333333337</v>
      </c>
      <c r="D14" s="9">
        <v>10</v>
      </c>
      <c r="E14" s="26">
        <f t="shared" si="0"/>
        <v>578.33333333333337</v>
      </c>
      <c r="F14" s="26">
        <f t="shared" si="10"/>
        <v>5663.04</v>
      </c>
      <c r="G14" s="9">
        <v>10</v>
      </c>
      <c r="H14" s="26">
        <f t="shared" si="2"/>
        <v>578.33333333333337</v>
      </c>
      <c r="I14" s="26">
        <f t="shared" si="9"/>
        <v>11548.16</v>
      </c>
      <c r="J14" s="9">
        <v>10</v>
      </c>
      <c r="K14" s="26">
        <f t="shared" si="3"/>
        <v>578.33333333333337</v>
      </c>
      <c r="L14" s="26">
        <f t="shared" si="4"/>
        <v>16656</v>
      </c>
      <c r="M14" s="9">
        <v>10</v>
      </c>
      <c r="N14" s="26">
        <f t="shared" si="5"/>
        <v>578.33333333333337</v>
      </c>
      <c r="O14" s="26">
        <f t="shared" si="6"/>
        <v>22208</v>
      </c>
      <c r="P14" s="9">
        <v>10</v>
      </c>
      <c r="Q14" s="26">
        <f t="shared" si="7"/>
        <v>578.33333333333337</v>
      </c>
      <c r="R14" s="26">
        <f t="shared" si="8"/>
        <v>27760</v>
      </c>
    </row>
    <row r="15" spans="1:18" ht="20" customHeight="1" x14ac:dyDescent="0.15">
      <c r="A15" s="8">
        <v>43435</v>
      </c>
      <c r="B15" s="9">
        <v>10</v>
      </c>
      <c r="C15" s="26">
        <f>B15*(B$20/12)*1</f>
        <v>289.16666666666669</v>
      </c>
      <c r="D15" s="9">
        <v>10</v>
      </c>
      <c r="E15" s="26">
        <f t="shared" si="0"/>
        <v>289.16666666666669</v>
      </c>
      <c r="F15" s="26">
        <f t="shared" si="10"/>
        <v>5663.04</v>
      </c>
      <c r="G15" s="9">
        <v>10</v>
      </c>
      <c r="H15" s="26">
        <f t="shared" si="2"/>
        <v>289.16666666666669</v>
      </c>
      <c r="I15" s="26">
        <f t="shared" si="9"/>
        <v>11548.16</v>
      </c>
      <c r="J15" s="9">
        <v>10</v>
      </c>
      <c r="K15" s="26">
        <f t="shared" si="3"/>
        <v>289.16666666666669</v>
      </c>
      <c r="L15" s="26">
        <f t="shared" si="4"/>
        <v>16656</v>
      </c>
      <c r="M15" s="9">
        <v>10</v>
      </c>
      <c r="N15" s="26">
        <f t="shared" si="5"/>
        <v>289.16666666666669</v>
      </c>
      <c r="O15" s="26">
        <f t="shared" si="6"/>
        <v>22208</v>
      </c>
      <c r="P15" s="9">
        <v>10</v>
      </c>
      <c r="Q15" s="26">
        <f t="shared" si="7"/>
        <v>289.16666666666669</v>
      </c>
      <c r="R15" s="26">
        <f t="shared" si="8"/>
        <v>27760</v>
      </c>
    </row>
    <row r="16" spans="1:18" ht="20" customHeight="1" x14ac:dyDescent="0.15">
      <c r="A16" s="11" t="s">
        <v>11</v>
      </c>
      <c r="B16" s="9">
        <f t="shared" ref="B16:R16" si="11">SUM(B4:B15)</f>
        <v>200</v>
      </c>
      <c r="C16" s="26">
        <f t="shared" si="11"/>
        <v>50315</v>
      </c>
      <c r="D16" s="10">
        <f t="shared" si="11"/>
        <v>200</v>
      </c>
      <c r="E16" s="26">
        <f t="shared" si="11"/>
        <v>50315</v>
      </c>
      <c r="F16" s="26">
        <f t="shared" si="11"/>
        <v>67956.479999999996</v>
      </c>
      <c r="G16" s="10">
        <f t="shared" si="11"/>
        <v>200</v>
      </c>
      <c r="H16" s="26">
        <f t="shared" si="11"/>
        <v>50315</v>
      </c>
      <c r="I16" s="26">
        <f t="shared" si="11"/>
        <v>138577.92000000001</v>
      </c>
      <c r="J16" s="10">
        <f t="shared" si="11"/>
        <v>200</v>
      </c>
      <c r="K16" s="26">
        <f t="shared" si="11"/>
        <v>50315</v>
      </c>
      <c r="L16" s="26">
        <f t="shared" si="11"/>
        <v>199872</v>
      </c>
      <c r="M16" s="10">
        <f t="shared" si="11"/>
        <v>200</v>
      </c>
      <c r="N16" s="26">
        <f t="shared" si="11"/>
        <v>50315</v>
      </c>
      <c r="O16" s="26">
        <f t="shared" si="11"/>
        <v>266496</v>
      </c>
      <c r="P16" s="10">
        <f t="shared" si="11"/>
        <v>200</v>
      </c>
      <c r="Q16" s="26">
        <f t="shared" si="11"/>
        <v>50315</v>
      </c>
      <c r="R16" s="26">
        <f t="shared" si="11"/>
        <v>333120</v>
      </c>
    </row>
    <row r="17" spans="1:18" ht="20" customHeight="1" x14ac:dyDescent="0.15">
      <c r="A17" s="12"/>
      <c r="B17" s="13"/>
      <c r="C17" s="26"/>
      <c r="D17" s="14"/>
      <c r="E17" s="26"/>
      <c r="F17" s="26"/>
      <c r="G17" s="14"/>
      <c r="H17" s="26"/>
      <c r="I17" s="26"/>
      <c r="J17" s="14"/>
      <c r="K17" s="26"/>
      <c r="L17" s="26"/>
      <c r="M17" s="14"/>
      <c r="N17" s="26"/>
      <c r="O17" s="26"/>
      <c r="P17" s="14"/>
      <c r="Q17" s="26"/>
      <c r="R17" s="26"/>
    </row>
    <row r="18" spans="1:18" ht="20" customHeight="1" x14ac:dyDescent="0.15">
      <c r="A18" s="11" t="s">
        <v>12</v>
      </c>
      <c r="B18" s="15" t="s">
        <v>13</v>
      </c>
      <c r="C18" s="30">
        <f>C16</f>
        <v>50315</v>
      </c>
      <c r="D18" s="17" t="s">
        <v>14</v>
      </c>
      <c r="E18" s="30">
        <f>E16+F16</f>
        <v>118271.48</v>
      </c>
      <c r="F18" s="30"/>
      <c r="G18" s="17" t="s">
        <v>15</v>
      </c>
      <c r="H18" s="30">
        <f>H16+I16</f>
        <v>188892.92</v>
      </c>
      <c r="I18" s="30"/>
      <c r="J18" s="17" t="s">
        <v>16</v>
      </c>
      <c r="K18" s="30">
        <f>K16+L16</f>
        <v>250187</v>
      </c>
      <c r="L18" s="30"/>
      <c r="M18" s="17" t="s">
        <v>17</v>
      </c>
      <c r="N18" s="30">
        <f>N16+O16</f>
        <v>316811</v>
      </c>
      <c r="O18" s="30"/>
      <c r="P18" s="17" t="s">
        <v>18</v>
      </c>
      <c r="Q18" s="30">
        <f>Q16+R16</f>
        <v>383435</v>
      </c>
      <c r="R18" s="26"/>
    </row>
    <row r="19" spans="1:18" ht="20" customHeight="1" x14ac:dyDescent="0.15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20" customHeight="1" x14ac:dyDescent="0.15">
      <c r="A20" s="11" t="s">
        <v>19</v>
      </c>
      <c r="B20" s="9">
        <v>347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ht="20" customHeight="1" x14ac:dyDescent="0.15">
      <c r="A21" s="11" t="s">
        <v>20</v>
      </c>
      <c r="B21" s="19">
        <v>0.96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0" customHeight="1" x14ac:dyDescent="0.15">
      <c r="A22" s="12" t="s">
        <v>31</v>
      </c>
      <c r="B22" s="24">
        <v>0.02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20" customHeight="1" x14ac:dyDescent="0.15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20" customHeight="1" x14ac:dyDescent="0.15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</sheetData>
  <mergeCells count="7">
    <mergeCell ref="A1:R1"/>
    <mergeCell ref="B2:C2"/>
    <mergeCell ref="D2:F2"/>
    <mergeCell ref="G2:I2"/>
    <mergeCell ref="J2:L2"/>
    <mergeCell ref="M2:O2"/>
    <mergeCell ref="P2:R2"/>
  </mergeCells>
  <pageMargins left="0.25" right="0.25" top="0.75" bottom="0.75" header="0.27777800000000002" footer="0.27777800000000002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 hr Agent - Full Time Agent</vt:lpstr>
      <vt:lpstr>Full Time w_Life - Full Time Ag</vt:lpstr>
      <vt:lpstr>20 hr agent -CA - Full Time Age</vt:lpstr>
      <vt:lpstr>40 hr Agent - Full Time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Meuret</cp:lastModifiedBy>
  <dcterms:modified xsi:type="dcterms:W3CDTF">2025-07-07T16:19:35Z</dcterms:modified>
</cp:coreProperties>
</file>